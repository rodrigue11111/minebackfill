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2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drawings/drawing3.xml" ContentType="application/vnd.openxmlformats-officedocument.drawing+xml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Cours dispenses\Cours GNM1002\GNM1002 Remblais miniers\Laboratoire remblais\"/>
    </mc:Choice>
  </mc:AlternateContent>
  <xr:revisionPtr revIDLastSave="0" documentId="13_ncr:1_{2B3253B6-DDF2-4D4C-9217-28C51ABF140D}" xr6:coauthVersionLast="47" xr6:coauthVersionMax="47" xr10:uidLastSave="{00000000-0000-0000-0000-000000000000}"/>
  <bookViews>
    <workbookView xWindow="-108" yWindow="-108" windowWidth="23256" windowHeight="12576" xr2:uid="{CD2068AB-B331-4BD2-A947-43C06997E47A}"/>
  </bookViews>
  <sheets>
    <sheet name="calculs melanges (GU-GUS)" sheetId="1" r:id="rId1"/>
    <sheet name="calculs melanges (general)" sheetId="3" r:id="rId2"/>
    <sheet name="calculs melanges (general) (2)" sheetId="4" r:id="rId3"/>
    <sheet name="Feuil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6" i="1"/>
  <c r="F26" i="1"/>
  <c r="H36" i="1"/>
  <c r="G36" i="1"/>
  <c r="H35" i="1"/>
  <c r="G35" i="1"/>
  <c r="H19" i="1"/>
  <c r="H20" i="1" s="1"/>
  <c r="G19" i="1"/>
  <c r="G20" i="1" s="1"/>
  <c r="G21" i="1" s="1"/>
  <c r="H8" i="1"/>
  <c r="G8" i="1"/>
  <c r="H6" i="1"/>
  <c r="G6" i="1"/>
  <c r="H5" i="1"/>
  <c r="H11" i="1" s="1"/>
  <c r="H12" i="1" s="1"/>
  <c r="G5" i="1"/>
  <c r="G11" i="1" s="1"/>
  <c r="G12" i="1" s="1"/>
  <c r="F11" i="1"/>
  <c r="E66" i="4"/>
  <c r="E64" i="4"/>
  <c r="E63" i="4"/>
  <c r="E62" i="4"/>
  <c r="E61" i="4"/>
  <c r="F48" i="4"/>
  <c r="H35" i="4"/>
  <c r="G35" i="4"/>
  <c r="F35" i="4"/>
  <c r="E35" i="4"/>
  <c r="F33" i="4"/>
  <c r="F31" i="4"/>
  <c r="F32" i="4" s="1"/>
  <c r="H26" i="4"/>
  <c r="H71" i="4" s="1"/>
  <c r="F24" i="4"/>
  <c r="F27" i="4" s="1"/>
  <c r="F72" i="4" s="1"/>
  <c r="F88" i="4" s="1"/>
  <c r="H20" i="4"/>
  <c r="H48" i="4" s="1"/>
  <c r="G20" i="4"/>
  <c r="G48" i="4" s="1"/>
  <c r="F20" i="4"/>
  <c r="H19" i="4"/>
  <c r="G19" i="4"/>
  <c r="F19" i="4"/>
  <c r="H17" i="4"/>
  <c r="H93" i="4" s="1"/>
  <c r="G17" i="4"/>
  <c r="G93" i="4" s="1"/>
  <c r="F15" i="4"/>
  <c r="F92" i="4" s="1"/>
  <c r="F14" i="4"/>
  <c r="F13" i="4"/>
  <c r="H12" i="4"/>
  <c r="G12" i="4"/>
  <c r="F12" i="4"/>
  <c r="H11" i="4"/>
  <c r="G11" i="4"/>
  <c r="G13" i="4" s="1"/>
  <c r="F11" i="4"/>
  <c r="H7" i="4"/>
  <c r="G7" i="4"/>
  <c r="F7" i="4"/>
  <c r="H100" i="3"/>
  <c r="H65" i="3"/>
  <c r="H56" i="3"/>
  <c r="H55" i="3"/>
  <c r="H54" i="3"/>
  <c r="H53" i="3"/>
  <c r="H52" i="3"/>
  <c r="H51" i="3"/>
  <c r="H50" i="3"/>
  <c r="H49" i="3"/>
  <c r="H48" i="3"/>
  <c r="H20" i="3"/>
  <c r="H7" i="3"/>
  <c r="H11" i="3"/>
  <c r="H13" i="3" s="1"/>
  <c r="H14" i="3" s="1"/>
  <c r="H12" i="3"/>
  <c r="H17" i="3" s="1"/>
  <c r="H69" i="3" s="1"/>
  <c r="H19" i="3"/>
  <c r="H35" i="3"/>
  <c r="G100" i="3"/>
  <c r="F100" i="3"/>
  <c r="G94" i="3"/>
  <c r="G95" i="3"/>
  <c r="G97" i="3"/>
  <c r="G99" i="3"/>
  <c r="F99" i="3"/>
  <c r="F97" i="3"/>
  <c r="F95" i="3"/>
  <c r="F94" i="3"/>
  <c r="G93" i="3"/>
  <c r="G36" i="3"/>
  <c r="G35" i="3"/>
  <c r="F35" i="3"/>
  <c r="E35" i="3"/>
  <c r="G7" i="3"/>
  <c r="G11" i="3"/>
  <c r="G13" i="3" s="1"/>
  <c r="G12" i="3"/>
  <c r="G17" i="3" s="1"/>
  <c r="G69" i="3" s="1"/>
  <c r="G19" i="3"/>
  <c r="G20" i="3"/>
  <c r="G31" i="3" s="1"/>
  <c r="G48" i="3"/>
  <c r="F93" i="3"/>
  <c r="F92" i="3"/>
  <c r="F15" i="3"/>
  <c r="F68" i="3"/>
  <c r="F89" i="3"/>
  <c r="E66" i="3"/>
  <c r="E64" i="3"/>
  <c r="E63" i="3"/>
  <c r="E62" i="3"/>
  <c r="E61" i="3"/>
  <c r="F19" i="3"/>
  <c r="F20" i="3"/>
  <c r="F31" i="3" s="1"/>
  <c r="F12" i="3"/>
  <c r="F17" i="3" s="1"/>
  <c r="F26" i="3" s="1"/>
  <c r="F29" i="3" s="1"/>
  <c r="F73" i="3" s="1"/>
  <c r="F79" i="3" s="1"/>
  <c r="F7" i="3"/>
  <c r="F11" i="3"/>
  <c r="F13" i="3" s="1"/>
  <c r="M5" i="1"/>
  <c r="M11" i="1" s="1"/>
  <c r="M12" i="1" s="1"/>
  <c r="N5" i="1"/>
  <c r="N11" i="1" s="1"/>
  <c r="N12" i="1" s="1"/>
  <c r="O5" i="1"/>
  <c r="O11" i="1" s="1"/>
  <c r="M8" i="1"/>
  <c r="N8" i="1"/>
  <c r="O8" i="1"/>
  <c r="M19" i="1"/>
  <c r="M20" i="1" s="1"/>
  <c r="N19" i="1"/>
  <c r="N20" i="1" s="1"/>
  <c r="O19" i="1"/>
  <c r="O22" i="1" s="1"/>
  <c r="O23" i="1" s="1"/>
  <c r="O24" i="1" s="1"/>
  <c r="M35" i="1"/>
  <c r="N35" i="1"/>
  <c r="O35" i="1"/>
  <c r="M36" i="1"/>
  <c r="N36" i="1"/>
  <c r="O36" i="1"/>
  <c r="I5" i="1"/>
  <c r="I11" i="1" s="1"/>
  <c r="I12" i="1" s="1"/>
  <c r="J5" i="1"/>
  <c r="J11" i="1" s="1"/>
  <c r="K5" i="1"/>
  <c r="K11" i="1" s="1"/>
  <c r="K12" i="1" s="1"/>
  <c r="L5" i="1"/>
  <c r="L11" i="1" s="1"/>
  <c r="L12" i="1" s="1"/>
  <c r="I8" i="1"/>
  <c r="J8" i="1"/>
  <c r="K8" i="1"/>
  <c r="L8" i="1"/>
  <c r="I19" i="1"/>
  <c r="I20" i="1" s="1"/>
  <c r="I21" i="1" s="1"/>
  <c r="J19" i="1"/>
  <c r="J22" i="1" s="1"/>
  <c r="J23" i="1" s="1"/>
  <c r="J24" i="1" s="1"/>
  <c r="K19" i="1"/>
  <c r="K22" i="1" s="1"/>
  <c r="K23" i="1" s="1"/>
  <c r="K24" i="1" s="1"/>
  <c r="L19" i="1"/>
  <c r="L20" i="1" s="1"/>
  <c r="I35" i="1"/>
  <c r="J35" i="1"/>
  <c r="K35" i="1"/>
  <c r="L35" i="1"/>
  <c r="I36" i="1"/>
  <c r="J36" i="1"/>
  <c r="K36" i="1"/>
  <c r="L36" i="1"/>
  <c r="F36" i="1"/>
  <c r="F35" i="1"/>
  <c r="F19" i="1"/>
  <c r="F22" i="1" s="1"/>
  <c r="F23" i="1" s="1"/>
  <c r="F24" i="1" s="1"/>
  <c r="F8" i="1"/>
  <c r="F6" i="1"/>
  <c r="F5" i="1"/>
  <c r="H22" i="1" l="1"/>
  <c r="H23" i="1" s="1"/>
  <c r="H24" i="1" s="1"/>
  <c r="G22" i="1"/>
  <c r="G23" i="1" s="1"/>
  <c r="G24" i="1" s="1"/>
  <c r="G29" i="1" s="1"/>
  <c r="H21" i="1"/>
  <c r="F12" i="1"/>
  <c r="F27" i="1" s="1"/>
  <c r="G14" i="4"/>
  <c r="G16" i="4" s="1"/>
  <c r="G25" i="4" s="1"/>
  <c r="G28" i="4" s="1"/>
  <c r="F65" i="4"/>
  <c r="F67" i="4"/>
  <c r="G15" i="4"/>
  <c r="H69" i="4"/>
  <c r="F70" i="4"/>
  <c r="F78" i="4"/>
  <c r="H29" i="4"/>
  <c r="H73" i="4" s="1"/>
  <c r="H89" i="4" s="1"/>
  <c r="G69" i="4"/>
  <c r="H15" i="4"/>
  <c r="G31" i="4"/>
  <c r="F34" i="4"/>
  <c r="F16" i="4"/>
  <c r="F25" i="4" s="1"/>
  <c r="F28" i="4" s="1"/>
  <c r="H31" i="4"/>
  <c r="F44" i="4"/>
  <c r="F56" i="4" s="1"/>
  <c r="F66" i="4" s="1"/>
  <c r="H13" i="4"/>
  <c r="F49" i="4"/>
  <c r="F61" i="4" s="1"/>
  <c r="F68" i="4"/>
  <c r="F17" i="4"/>
  <c r="G26" i="4"/>
  <c r="H31" i="3"/>
  <c r="H15" i="3"/>
  <c r="H16" i="3"/>
  <c r="H25" i="3" s="1"/>
  <c r="H28" i="3" s="1"/>
  <c r="H26" i="3"/>
  <c r="H93" i="3"/>
  <c r="F71" i="3"/>
  <c r="G15" i="3"/>
  <c r="G68" i="3" s="1"/>
  <c r="G32" i="3"/>
  <c r="G33" i="3"/>
  <c r="G44" i="3" s="1"/>
  <c r="G56" i="3" s="1"/>
  <c r="G66" i="3" s="1"/>
  <c r="G14" i="3"/>
  <c r="G26" i="3"/>
  <c r="G92" i="3"/>
  <c r="F69" i="3"/>
  <c r="F33" i="3"/>
  <c r="F32" i="3"/>
  <c r="F65" i="3" s="1"/>
  <c r="F48" i="3"/>
  <c r="F14" i="3"/>
  <c r="O20" i="1"/>
  <c r="O21" i="1" s="1"/>
  <c r="M22" i="1"/>
  <c r="M23" i="1" s="1"/>
  <c r="M24" i="1" s="1"/>
  <c r="M26" i="1" s="1"/>
  <c r="M27" i="1" s="1"/>
  <c r="I22" i="1"/>
  <c r="I23" i="1" s="1"/>
  <c r="I24" i="1" s="1"/>
  <c r="I26" i="1" s="1"/>
  <c r="F20" i="1"/>
  <c r="F21" i="1" s="1"/>
  <c r="L22" i="1"/>
  <c r="L23" i="1" s="1"/>
  <c r="L24" i="1" s="1"/>
  <c r="L26" i="1" s="1"/>
  <c r="L30" i="1" s="1"/>
  <c r="L31" i="1" s="1"/>
  <c r="L38" i="1" s="1"/>
  <c r="J20" i="1"/>
  <c r="J21" i="1" s="1"/>
  <c r="N22" i="1"/>
  <c r="N23" i="1" s="1"/>
  <c r="N24" i="1" s="1"/>
  <c r="N26" i="1" s="1"/>
  <c r="N29" i="1" s="1"/>
  <c r="O12" i="1"/>
  <c r="O26" i="1" s="1"/>
  <c r="O30" i="1" s="1"/>
  <c r="K26" i="1"/>
  <c r="K27" i="1" s="1"/>
  <c r="J12" i="1"/>
  <c r="J26" i="1" s="1"/>
  <c r="N21" i="1"/>
  <c r="M21" i="1"/>
  <c r="L21" i="1"/>
  <c r="K20" i="1"/>
  <c r="H27" i="1" l="1"/>
  <c r="H29" i="1"/>
  <c r="H37" i="1" s="1"/>
  <c r="H30" i="1"/>
  <c r="H31" i="1" s="1"/>
  <c r="H38" i="1" s="1"/>
  <c r="G37" i="1"/>
  <c r="G28" i="1"/>
  <c r="G33" i="1" s="1"/>
  <c r="G40" i="1" s="1"/>
  <c r="G30" i="1"/>
  <c r="G31" i="1" s="1"/>
  <c r="G38" i="1" s="1"/>
  <c r="G27" i="1"/>
  <c r="G68" i="4"/>
  <c r="G92" i="4"/>
  <c r="G24" i="4"/>
  <c r="G29" i="4"/>
  <c r="G73" i="4" s="1"/>
  <c r="G89" i="4" s="1"/>
  <c r="G71" i="4"/>
  <c r="F42" i="4"/>
  <c r="F95" i="4" s="1"/>
  <c r="F50" i="4"/>
  <c r="F36" i="4"/>
  <c r="F26" i="4"/>
  <c r="F93" i="4"/>
  <c r="F69" i="4"/>
  <c r="H92" i="4"/>
  <c r="H68" i="4"/>
  <c r="H24" i="4"/>
  <c r="F39" i="4"/>
  <c r="F52" i="4" s="1"/>
  <c r="H16" i="4"/>
  <c r="H25" i="4" s="1"/>
  <c r="H28" i="4" s="1"/>
  <c r="H14" i="4"/>
  <c r="F43" i="4"/>
  <c r="F40" i="4"/>
  <c r="F54" i="4" s="1"/>
  <c r="H44" i="4"/>
  <c r="H56" i="4" s="1"/>
  <c r="H66" i="4" s="1"/>
  <c r="H79" i="4"/>
  <c r="H32" i="4"/>
  <c r="H33" i="4"/>
  <c r="G79" i="4"/>
  <c r="G33" i="4"/>
  <c r="G44" i="4" s="1"/>
  <c r="G56" i="4" s="1"/>
  <c r="G66" i="4" s="1"/>
  <c r="G32" i="4"/>
  <c r="F47" i="4"/>
  <c r="F37" i="4"/>
  <c r="H32" i="3"/>
  <c r="H33" i="3"/>
  <c r="H24" i="3"/>
  <c r="H68" i="3"/>
  <c r="H92" i="3"/>
  <c r="H71" i="3"/>
  <c r="H29" i="3"/>
  <c r="H73" i="3" s="1"/>
  <c r="F34" i="3"/>
  <c r="F49" i="3"/>
  <c r="F61" i="3" s="1"/>
  <c r="G24" i="3"/>
  <c r="G27" i="3" s="1"/>
  <c r="G72" i="3" s="1"/>
  <c r="G16" i="3"/>
  <c r="G25" i="3" s="1"/>
  <c r="G28" i="3" s="1"/>
  <c r="G71" i="3"/>
  <c r="G29" i="3"/>
  <c r="G73" i="3" s="1"/>
  <c r="G65" i="3"/>
  <c r="G70" i="3"/>
  <c r="G49" i="3"/>
  <c r="G61" i="3" s="1"/>
  <c r="G34" i="3"/>
  <c r="G47" i="3" s="1"/>
  <c r="F44" i="3"/>
  <c r="F56" i="3" s="1"/>
  <c r="F66" i="3" s="1"/>
  <c r="F36" i="3"/>
  <c r="F39" i="3"/>
  <c r="F67" i="3"/>
  <c r="F47" i="3"/>
  <c r="F16" i="3"/>
  <c r="F25" i="3" s="1"/>
  <c r="F28" i="3" s="1"/>
  <c r="F40" i="3"/>
  <c r="F54" i="3" s="1"/>
  <c r="F24" i="3"/>
  <c r="L27" i="1"/>
  <c r="L29" i="1"/>
  <c r="L28" i="1" s="1"/>
  <c r="L33" i="1" s="1"/>
  <c r="L40" i="1" s="1"/>
  <c r="K30" i="1"/>
  <c r="K31" i="1" s="1"/>
  <c r="K38" i="1" s="1"/>
  <c r="O27" i="1"/>
  <c r="M30" i="1"/>
  <c r="M31" i="1" s="1"/>
  <c r="M38" i="1" s="1"/>
  <c r="K29" i="1"/>
  <c r="K37" i="1" s="1"/>
  <c r="J29" i="1"/>
  <c r="J28" i="1" s="1"/>
  <c r="J33" i="1" s="1"/>
  <c r="J40" i="1" s="1"/>
  <c r="J30" i="1"/>
  <c r="J31" i="1" s="1"/>
  <c r="J38" i="1" s="1"/>
  <c r="J27" i="1"/>
  <c r="O31" i="1"/>
  <c r="O38" i="1" s="1"/>
  <c r="O32" i="1"/>
  <c r="O39" i="1" s="1"/>
  <c r="M29" i="1"/>
  <c r="M28" i="1" s="1"/>
  <c r="M33" i="1" s="1"/>
  <c r="M40" i="1" s="1"/>
  <c r="O29" i="1"/>
  <c r="O28" i="1" s="1"/>
  <c r="O33" i="1" s="1"/>
  <c r="O40" i="1" s="1"/>
  <c r="N27" i="1"/>
  <c r="N30" i="1"/>
  <c r="N31" i="1" s="1"/>
  <c r="N38" i="1" s="1"/>
  <c r="N28" i="1"/>
  <c r="N33" i="1" s="1"/>
  <c r="N40" i="1" s="1"/>
  <c r="N37" i="1"/>
  <c r="K21" i="1"/>
  <c r="L32" i="1"/>
  <c r="L39" i="1" s="1"/>
  <c r="I29" i="1"/>
  <c r="I30" i="1"/>
  <c r="I27" i="1"/>
  <c r="F29" i="1"/>
  <c r="F28" i="1" s="1"/>
  <c r="F33" i="1" s="1"/>
  <c r="F40" i="1" s="1"/>
  <c r="F30" i="1"/>
  <c r="F32" i="1" s="1"/>
  <c r="H28" i="1" l="1"/>
  <c r="H33" i="1" s="1"/>
  <c r="H40" i="1" s="1"/>
  <c r="H32" i="1"/>
  <c r="H39" i="1" s="1"/>
  <c r="G32" i="1"/>
  <c r="G39" i="1" s="1"/>
  <c r="G41" i="1" s="1"/>
  <c r="H65" i="4"/>
  <c r="G65" i="4"/>
  <c r="G67" i="4"/>
  <c r="H70" i="4"/>
  <c r="H27" i="4"/>
  <c r="H72" i="4" s="1"/>
  <c r="F55" i="4"/>
  <c r="F64" i="4" s="1"/>
  <c r="F99" i="4"/>
  <c r="G49" i="4"/>
  <c r="G61" i="4" s="1"/>
  <c r="G34" i="4"/>
  <c r="G70" i="4"/>
  <c r="G27" i="4"/>
  <c r="G72" i="4" s="1"/>
  <c r="F51" i="4"/>
  <c r="F62" i="4" s="1"/>
  <c r="F94" i="4"/>
  <c r="F100" i="4" s="1"/>
  <c r="F97" i="4"/>
  <c r="F53" i="4"/>
  <c r="F63" i="4" s="1"/>
  <c r="H49" i="4"/>
  <c r="H61" i="4" s="1"/>
  <c r="H34" i="4"/>
  <c r="H47" i="4" s="1"/>
  <c r="H40" i="4"/>
  <c r="H54" i="4" s="1"/>
  <c r="F60" i="4"/>
  <c r="F59" i="4"/>
  <c r="F29" i="4"/>
  <c r="F73" i="4" s="1"/>
  <c r="F71" i="4"/>
  <c r="H61" i="3"/>
  <c r="H34" i="3"/>
  <c r="H47" i="3" s="1"/>
  <c r="H67" i="3"/>
  <c r="H44" i="3"/>
  <c r="H66" i="3" s="1"/>
  <c r="H27" i="3"/>
  <c r="H72" i="3" s="1"/>
  <c r="H70" i="3"/>
  <c r="H79" i="3"/>
  <c r="H89" i="3"/>
  <c r="F37" i="3"/>
  <c r="F50" i="3"/>
  <c r="G67" i="3"/>
  <c r="G60" i="3"/>
  <c r="G59" i="3"/>
  <c r="G89" i="3"/>
  <c r="G79" i="3"/>
  <c r="G88" i="3"/>
  <c r="G78" i="3"/>
  <c r="G42" i="3"/>
  <c r="G51" i="3"/>
  <c r="G62" i="3" s="1"/>
  <c r="G43" i="3"/>
  <c r="G55" i="3" s="1"/>
  <c r="G64" i="3" s="1"/>
  <c r="G50" i="3"/>
  <c r="G37" i="3"/>
  <c r="G53" i="3" s="1"/>
  <c r="G63" i="3" s="1"/>
  <c r="G39" i="3"/>
  <c r="G52" i="3" s="1"/>
  <c r="G40" i="3"/>
  <c r="G54" i="3" s="1"/>
  <c r="F27" i="3"/>
  <c r="F72" i="3" s="1"/>
  <c r="F70" i="3"/>
  <c r="F59" i="3"/>
  <c r="F60" i="3"/>
  <c r="F42" i="3"/>
  <c r="F43" i="3"/>
  <c r="F55" i="3" s="1"/>
  <c r="F64" i="3" s="1"/>
  <c r="F52" i="3"/>
  <c r="L37" i="1"/>
  <c r="L41" i="1" s="1"/>
  <c r="K32" i="1"/>
  <c r="K39" i="1" s="1"/>
  <c r="K28" i="1"/>
  <c r="K33" i="1" s="1"/>
  <c r="K40" i="1" s="1"/>
  <c r="M32" i="1"/>
  <c r="M39" i="1" s="1"/>
  <c r="J32" i="1"/>
  <c r="J39" i="1" s="1"/>
  <c r="J37" i="1"/>
  <c r="J41" i="1" s="1"/>
  <c r="N32" i="1"/>
  <c r="N39" i="1" s="1"/>
  <c r="M37" i="1"/>
  <c r="M41" i="1" s="1"/>
  <c r="O37" i="1"/>
  <c r="O41" i="1" s="1"/>
  <c r="N41" i="1"/>
  <c r="I31" i="1"/>
  <c r="I38" i="1" s="1"/>
  <c r="I32" i="1"/>
  <c r="I39" i="1" s="1"/>
  <c r="I28" i="1"/>
  <c r="I33" i="1" s="1"/>
  <c r="I40" i="1" s="1"/>
  <c r="I37" i="1"/>
  <c r="I41" i="1" s="1"/>
  <c r="K41" i="1"/>
  <c r="F37" i="1"/>
  <c r="F31" i="1"/>
  <c r="F38" i="1" s="1"/>
  <c r="F39" i="1"/>
  <c r="H41" i="1" l="1"/>
  <c r="H59" i="4"/>
  <c r="H60" i="4"/>
  <c r="H42" i="4"/>
  <c r="H95" i="4" s="1"/>
  <c r="H36" i="4"/>
  <c r="H43" i="4"/>
  <c r="H50" i="4"/>
  <c r="H37" i="4"/>
  <c r="H39" i="4"/>
  <c r="H52" i="4" s="1"/>
  <c r="G88" i="4"/>
  <c r="G78" i="4"/>
  <c r="G50" i="4"/>
  <c r="G42" i="4"/>
  <c r="G95" i="4" s="1"/>
  <c r="G36" i="4"/>
  <c r="G43" i="4"/>
  <c r="G37" i="4"/>
  <c r="G39" i="4"/>
  <c r="G52" i="4" s="1"/>
  <c r="G40" i="4"/>
  <c r="G54" i="4" s="1"/>
  <c r="F79" i="4"/>
  <c r="F89" i="4"/>
  <c r="H67" i="4"/>
  <c r="F82" i="4"/>
  <c r="F83" i="4"/>
  <c r="H88" i="4"/>
  <c r="H78" i="4"/>
  <c r="F74" i="4"/>
  <c r="F75" i="4"/>
  <c r="G47" i="4"/>
  <c r="H60" i="3"/>
  <c r="H59" i="3"/>
  <c r="H43" i="3"/>
  <c r="H40" i="3"/>
  <c r="H39" i="3"/>
  <c r="H37" i="3"/>
  <c r="H36" i="3"/>
  <c r="H42" i="3"/>
  <c r="H95" i="3" s="1"/>
  <c r="H88" i="3"/>
  <c r="H78" i="3"/>
  <c r="F88" i="3"/>
  <c r="F78" i="3"/>
  <c r="G74" i="3"/>
  <c r="G82" i="3" s="1"/>
  <c r="G75" i="3"/>
  <c r="G83" i="3" s="1"/>
  <c r="F75" i="3"/>
  <c r="F74" i="3"/>
  <c r="F51" i="3"/>
  <c r="F62" i="3" s="1"/>
  <c r="F53" i="3"/>
  <c r="F63" i="3" s="1"/>
  <c r="F41" i="1"/>
  <c r="G94" i="4" l="1"/>
  <c r="G51" i="4"/>
  <c r="G62" i="4" s="1"/>
  <c r="H55" i="4"/>
  <c r="H64" i="4" s="1"/>
  <c r="H99" i="4"/>
  <c r="G97" i="4"/>
  <c r="G53" i="4"/>
  <c r="G63" i="4" s="1"/>
  <c r="G100" i="4"/>
  <c r="H94" i="4"/>
  <c r="H51" i="4"/>
  <c r="H62" i="4" s="1"/>
  <c r="G59" i="4"/>
  <c r="G60" i="4"/>
  <c r="H100" i="4"/>
  <c r="F77" i="4"/>
  <c r="F85" i="4" s="1"/>
  <c r="F87" i="4" s="1"/>
  <c r="F91" i="4"/>
  <c r="F81" i="4"/>
  <c r="H83" i="4"/>
  <c r="H53" i="4"/>
  <c r="H63" i="4" s="1"/>
  <c r="H97" i="4"/>
  <c r="G55" i="4"/>
  <c r="G64" i="4" s="1"/>
  <c r="G99" i="4"/>
  <c r="F90" i="4"/>
  <c r="F76" i="4"/>
  <c r="H75" i="4"/>
  <c r="H74" i="4"/>
  <c r="H82" i="4" s="1"/>
  <c r="H64" i="3"/>
  <c r="H99" i="3"/>
  <c r="H62" i="3"/>
  <c r="H94" i="3"/>
  <c r="H63" i="3"/>
  <c r="H97" i="3"/>
  <c r="H75" i="3"/>
  <c r="H74" i="3"/>
  <c r="G77" i="3"/>
  <c r="G91" i="3"/>
  <c r="G76" i="3"/>
  <c r="G90" i="3"/>
  <c r="F82" i="3"/>
  <c r="F76" i="3"/>
  <c r="F90" i="3"/>
  <c r="F83" i="3"/>
  <c r="F77" i="3"/>
  <c r="F91" i="3"/>
  <c r="G74" i="4" l="1"/>
  <c r="G75" i="4"/>
  <c r="H76" i="4"/>
  <c r="H90" i="4"/>
  <c r="H91" i="4"/>
  <c r="H77" i="4"/>
  <c r="F84" i="4"/>
  <c r="F86" i="4" s="1"/>
  <c r="F80" i="4"/>
  <c r="H82" i="3"/>
  <c r="H90" i="3"/>
  <c r="H76" i="3"/>
  <c r="H83" i="3"/>
  <c r="H77" i="3"/>
  <c r="H91" i="3"/>
  <c r="G84" i="3"/>
  <c r="G86" i="3" s="1"/>
  <c r="G80" i="3"/>
  <c r="G85" i="3"/>
  <c r="G87" i="3" s="1"/>
  <c r="G81" i="3"/>
  <c r="F84" i="3"/>
  <c r="F86" i="3" s="1"/>
  <c r="F80" i="3"/>
  <c r="F85" i="3"/>
  <c r="F87" i="3" s="1"/>
  <c r="F81" i="3"/>
  <c r="H85" i="4" l="1"/>
  <c r="H87" i="4" s="1"/>
  <c r="H81" i="4"/>
  <c r="G77" i="4"/>
  <c r="G91" i="4"/>
  <c r="G90" i="4"/>
  <c r="G76" i="4"/>
  <c r="G83" i="4"/>
  <c r="H84" i="4"/>
  <c r="H86" i="4" s="1"/>
  <c r="H80" i="4"/>
  <c r="G82" i="4"/>
  <c r="H85" i="3"/>
  <c r="H87" i="3" s="1"/>
  <c r="H81" i="3"/>
  <c r="H84" i="3"/>
  <c r="H86" i="3" s="1"/>
  <c r="H80" i="3"/>
  <c r="G85" i="4" l="1"/>
  <c r="G87" i="4" s="1"/>
  <c r="G81" i="4"/>
  <c r="G84" i="4"/>
  <c r="G86" i="4" s="1"/>
  <c r="G80" i="4"/>
</calcChain>
</file>

<file path=xl/sharedStrings.xml><?xml version="1.0" encoding="utf-8"?>
<sst xmlns="http://schemas.openxmlformats.org/spreadsheetml/2006/main" count="265" uniqueCount="128">
  <si>
    <t>Récapitulatif</t>
  </si>
  <si>
    <t>55GU/45Slag</t>
  </si>
  <si>
    <t>Recette #1</t>
  </si>
  <si>
    <t>Recette #2</t>
  </si>
  <si>
    <t>%solides RPC Cwf(%)</t>
  </si>
  <si>
    <t>Masse résidus humides Mth (g)</t>
  </si>
  <si>
    <t>Masse ciment GU (g)</t>
  </si>
  <si>
    <t>Masse Slag (g)</t>
  </si>
  <si>
    <t>Masse eau à ajouter Mw-aj (g)</t>
  </si>
  <si>
    <t>Total (g)</t>
  </si>
  <si>
    <t>Recette #3</t>
  </si>
  <si>
    <t>Recette #4</t>
  </si>
  <si>
    <t>Recette #5</t>
  </si>
  <si>
    <t>Recette #6</t>
  </si>
  <si>
    <t>Recette #7</t>
  </si>
  <si>
    <t>Recette #8</t>
  </si>
  <si>
    <t>Recette #9</t>
  </si>
  <si>
    <t>Recette #10</t>
  </si>
  <si>
    <t>d moule (po)</t>
  </si>
  <si>
    <t>h moule (po)</t>
  </si>
  <si>
    <t>Gs-GU, rau_sGU (g/cm^3)</t>
  </si>
  <si>
    <t>Gs-t, rau_st (g/cm^3)</t>
  </si>
  <si>
    <t>Gs-Slag, rau_sSlag (g/cm^3)</t>
  </si>
  <si>
    <t>Type de Liant</t>
  </si>
  <si>
    <t>Gs-b, rau_s-b (g/cm^3)</t>
  </si>
  <si>
    <t>rau_sf (g/cm^3)</t>
  </si>
  <si>
    <t>rau_hf (g/cm^3)</t>
  </si>
  <si>
    <t>CALCUL DES INGRÉDIENTS POUR LES RECETTES DE MÉLANGE DE REMBLAIS EN PÂTE CIMENTÉS</t>
  </si>
  <si>
    <t>%solides résidus Cwt (%)</t>
  </si>
  <si>
    <t>Nb de moules</t>
  </si>
  <si>
    <t>teneur en eau résidus wt (-)</t>
  </si>
  <si>
    <t>%solides remblai Cwf (%)</t>
  </si>
  <si>
    <t>degré de saturation Sr (%)</t>
  </si>
  <si>
    <t>volume total VT (cm^3)</t>
  </si>
  <si>
    <t>taux de liant Bw (%)</t>
  </si>
  <si>
    <r>
      <rPr>
        <b/>
        <sz val="11"/>
        <rFont val="Calibri"/>
        <family val="2"/>
        <scheme val="minor"/>
      </rPr>
      <t xml:space="preserve">facteur de perte </t>
    </r>
    <r>
      <rPr>
        <b/>
        <sz val="11"/>
        <rFont val="Symbol"/>
        <family val="1"/>
        <charset val="2"/>
      </rPr>
      <t>k</t>
    </r>
  </si>
  <si>
    <t>proportion GU xGU (%)</t>
  </si>
  <si>
    <t>Proportion SLAG ySlag (%)</t>
  </si>
  <si>
    <t>dosage GU = X_GU (-)</t>
  </si>
  <si>
    <t>dosage GUS = Y_GUS (-)</t>
  </si>
  <si>
    <t>volume unitaire moule V0 (cm^3)</t>
  </si>
  <si>
    <t>masse totale remblai M_T (g)</t>
  </si>
  <si>
    <t>masse totale eau Mw (g)</t>
  </si>
  <si>
    <t>masse résidus secs Mt-sec (g)</t>
  </si>
  <si>
    <t>masse résidus humides Mth (g)</t>
  </si>
  <si>
    <t>masse liant Mb (g)</t>
  </si>
  <si>
    <t>masse GU = mGU (g)</t>
  </si>
  <si>
    <t>masse GUS = mGUS (g)</t>
  </si>
  <si>
    <t>masse eau ajoutée Mw-aj</t>
  </si>
  <si>
    <t>proportion GU [xGU (%)]</t>
  </si>
  <si>
    <t>Proportion SLAG [ySlag (%)]</t>
  </si>
  <si>
    <t>Proportion FA-C [yFAC (%)]</t>
  </si>
  <si>
    <t>rau_sf (g/cm^3)_GU-Slag</t>
  </si>
  <si>
    <t>rau_sf (g/cm^3)_GU-GUS</t>
  </si>
  <si>
    <t>rau_sf (g/cm^3)_GU-FAC</t>
  </si>
  <si>
    <t>rau_hf (g/cm^3)_GU-Slag</t>
  </si>
  <si>
    <t>rau_hf (g/cm^3)_GU-GUS</t>
  </si>
  <si>
    <t>rau_hf (g/cm^3)_GU-FAC</t>
  </si>
  <si>
    <t>GU-Slag</t>
  </si>
  <si>
    <r>
      <t>Gs, rau_s (t/m^3)--</t>
    </r>
    <r>
      <rPr>
        <b/>
        <sz val="11"/>
        <color rgb="FFFF0000"/>
        <rFont val="Calibri"/>
        <family val="2"/>
        <scheme val="minor"/>
      </rPr>
      <t>Slag</t>
    </r>
  </si>
  <si>
    <r>
      <t>Gs, rau_s (t/m^3)--</t>
    </r>
    <r>
      <rPr>
        <b/>
        <sz val="11"/>
        <color rgb="FFFF0000"/>
        <rFont val="Calibri"/>
        <family val="2"/>
        <scheme val="minor"/>
      </rPr>
      <t>GU, HE</t>
    </r>
  </si>
  <si>
    <r>
      <t>Gs, rau_s (t/m^3)--</t>
    </r>
    <r>
      <rPr>
        <b/>
        <sz val="11"/>
        <color rgb="FFFF0000"/>
        <rFont val="Calibri"/>
        <family val="2"/>
        <scheme val="minor"/>
      </rPr>
      <t>FA-C</t>
    </r>
  </si>
  <si>
    <r>
      <t>Gs, rau_s (t/m^3)--</t>
    </r>
    <r>
      <rPr>
        <b/>
        <sz val="11"/>
        <color rgb="FFFF0000"/>
        <rFont val="Calibri"/>
        <family val="2"/>
        <scheme val="minor"/>
      </rPr>
      <t>GUS</t>
    </r>
  </si>
  <si>
    <r>
      <t>Gst, rau_st (t/m^3)--</t>
    </r>
    <r>
      <rPr>
        <b/>
        <sz val="11"/>
        <color rgb="FFFF0000"/>
        <rFont val="Calibri"/>
        <family val="2"/>
        <scheme val="minor"/>
      </rPr>
      <t>résidus</t>
    </r>
  </si>
  <si>
    <r>
      <t>Gs-b, rau_s-b (t/m^3)_</t>
    </r>
    <r>
      <rPr>
        <b/>
        <sz val="11"/>
        <color theme="5" tint="-0.499984740745262"/>
        <rFont val="Calibri"/>
        <family val="2"/>
        <scheme val="minor"/>
      </rPr>
      <t>GU-Slag</t>
    </r>
  </si>
  <si>
    <r>
      <t>Gs-b, rau_s-b (t/m^3)_</t>
    </r>
    <r>
      <rPr>
        <b/>
        <sz val="11"/>
        <color theme="5" tint="-0.499984740745262"/>
        <rFont val="Calibri"/>
        <family val="2"/>
        <scheme val="minor"/>
      </rPr>
      <t>GU-GUS</t>
    </r>
  </si>
  <si>
    <r>
      <t>Gs-b, rau_s-b (t/m^3)_</t>
    </r>
    <r>
      <rPr>
        <b/>
        <sz val="11"/>
        <color theme="5" tint="-0.499984740745262"/>
        <rFont val="Calibri"/>
        <family val="2"/>
        <scheme val="minor"/>
      </rPr>
      <t>GU-FAC</t>
    </r>
  </si>
  <si>
    <t>masse résidus humides Mth (t)</t>
  </si>
  <si>
    <t>masse totale remblai M_T (t)</t>
  </si>
  <si>
    <t>masse totale eau Mw (t)</t>
  </si>
  <si>
    <t>masse résidus secs Mt-sec (t)</t>
  </si>
  <si>
    <t>masse liant Mb (t)</t>
  </si>
  <si>
    <t>masse GU = mGU (t)</t>
  </si>
  <si>
    <t>masse GUS = mGUS (t)</t>
  </si>
  <si>
    <t>masse SLAG = mSlag (t)</t>
  </si>
  <si>
    <t>masse FA-C = mFAC (t)</t>
  </si>
  <si>
    <t>GU-GUS</t>
  </si>
  <si>
    <t>GU-FAC</t>
  </si>
  <si>
    <t>Paramètres géotechniques</t>
  </si>
  <si>
    <r>
      <rPr>
        <sz val="11"/>
        <color rgb="FF7030A0"/>
        <rFont val="Symbol"/>
        <family val="1"/>
        <charset val="2"/>
      </rPr>
      <t>r</t>
    </r>
    <r>
      <rPr>
        <sz val="11"/>
        <color rgb="FF7030A0"/>
        <rFont val="Calibri"/>
        <family val="2"/>
        <scheme val="minor"/>
      </rPr>
      <t>_hf (t/m^3)_GU-Slag</t>
    </r>
    <r>
      <rPr>
        <sz val="11"/>
        <color rgb="FF7030A0"/>
        <rFont val="Calibri"/>
        <family val="1"/>
        <charset val="2"/>
        <scheme val="minor"/>
      </rPr>
      <t>/GU-GUS</t>
    </r>
  </si>
  <si>
    <r>
      <rPr>
        <sz val="11"/>
        <color rgb="FF7030A0"/>
        <rFont val="Symbol"/>
        <family val="1"/>
        <charset val="2"/>
      </rPr>
      <t>r</t>
    </r>
    <r>
      <rPr>
        <sz val="11"/>
        <color rgb="FF7030A0"/>
        <rFont val="Calibri"/>
        <family val="2"/>
        <scheme val="minor"/>
      </rPr>
      <t>_hf (t/m^3)_GU-FAC</t>
    </r>
  </si>
  <si>
    <r>
      <rPr>
        <sz val="11"/>
        <color rgb="FF7030A0"/>
        <rFont val="Symbol"/>
        <family val="1"/>
        <charset val="2"/>
      </rPr>
      <t>r</t>
    </r>
    <r>
      <rPr>
        <sz val="11"/>
        <color rgb="FF7030A0"/>
        <rFont val="Calibri"/>
        <family val="2"/>
        <scheme val="minor"/>
      </rPr>
      <t>_df (t/m^3)_GU-Slag</t>
    </r>
    <r>
      <rPr>
        <sz val="11"/>
        <color rgb="FF7030A0"/>
        <rFont val="Calibri"/>
        <family val="1"/>
        <charset val="2"/>
        <scheme val="minor"/>
      </rPr>
      <t>/GU-GUS</t>
    </r>
  </si>
  <si>
    <r>
      <rPr>
        <sz val="11"/>
        <color rgb="FF7030A0"/>
        <rFont val="Symbol"/>
        <family val="1"/>
        <charset val="2"/>
      </rPr>
      <t>r</t>
    </r>
    <r>
      <rPr>
        <sz val="11"/>
        <color rgb="FF7030A0"/>
        <rFont val="Calibri"/>
        <family val="2"/>
        <scheme val="minor"/>
      </rPr>
      <t>_df (t/m^3)_GU-FAC</t>
    </r>
  </si>
  <si>
    <t>% Solides massique RPC, Cw (%)</t>
  </si>
  <si>
    <t>Teneur eau massique, w (%)</t>
  </si>
  <si>
    <t>Eau/Liant final, W/C</t>
  </si>
  <si>
    <t>%liant volumique_GU-Slag/GU-GUS,  Bv</t>
  </si>
  <si>
    <t>%liant volumique_GU-FAC,  Bv</t>
  </si>
  <si>
    <t>%Solides volumique pâte_GU-Slag/GU-GUS Cv (%)</t>
  </si>
  <si>
    <t>%Solides volumique pâte_GU-FAC, Cv (%)</t>
  </si>
  <si>
    <t>Volume total_GU-Slag/GU-GUS, VT (m^3)</t>
  </si>
  <si>
    <t>Volume total_GU-FAC, VT (m^3)</t>
  </si>
  <si>
    <r>
      <rPr>
        <sz val="11"/>
        <color theme="1" tint="0.499984740745262"/>
        <rFont val="Symbol"/>
        <family val="1"/>
        <charset val="2"/>
      </rPr>
      <t>r</t>
    </r>
    <r>
      <rPr>
        <sz val="11"/>
        <color theme="1" tint="0.499984740745262"/>
        <rFont val="Calibri"/>
        <family val="2"/>
        <scheme val="minor"/>
      </rPr>
      <t>_sf (t/m^3)_GU-Slag</t>
    </r>
    <r>
      <rPr>
        <sz val="11"/>
        <color theme="1" tint="0.499984740745262"/>
        <rFont val="Calibri"/>
        <family val="1"/>
        <charset val="2"/>
        <scheme val="minor"/>
      </rPr>
      <t>/GU-GUS</t>
    </r>
  </si>
  <si>
    <r>
      <rPr>
        <sz val="11"/>
        <color theme="1" tint="0.499984740745262"/>
        <rFont val="Symbol"/>
        <family val="1"/>
        <charset val="2"/>
      </rPr>
      <t>r</t>
    </r>
    <r>
      <rPr>
        <sz val="11"/>
        <color theme="1" tint="0.499984740745262"/>
        <rFont val="Calibri"/>
        <family val="2"/>
        <scheme val="minor"/>
      </rPr>
      <t>_sf (t/m^3)_GU-FAC</t>
    </r>
  </si>
  <si>
    <t>Volume des vides_GU-Slag/GU-GUS, Vv (m^3)</t>
  </si>
  <si>
    <t>Volume des vides_GU-FAC, Vv (m^3)</t>
  </si>
  <si>
    <t>porosité finale_GU-Slag/GU-GUS, n0</t>
  </si>
  <si>
    <t>indice des vides final_GU-Slag/GU-GUS, e0</t>
  </si>
  <si>
    <t>indice des vides final_GU-FAC, e0</t>
  </si>
  <si>
    <t>porosité finale_GU-FAC, n0</t>
  </si>
  <si>
    <r>
      <rPr>
        <sz val="11"/>
        <rFont val="Symbol"/>
        <family val="1"/>
        <charset val="2"/>
      </rPr>
      <t>g</t>
    </r>
    <r>
      <rPr>
        <sz val="11"/>
        <rFont val="Calibri"/>
        <family val="2"/>
      </rPr>
      <t>h remblai_GU-Slag/GU-GUS (kN/m³)</t>
    </r>
  </si>
  <si>
    <r>
      <rPr>
        <sz val="11"/>
        <rFont val="Symbol"/>
        <family val="1"/>
        <charset val="2"/>
      </rPr>
      <t>g</t>
    </r>
    <r>
      <rPr>
        <sz val="11"/>
        <rFont val="Calibri"/>
        <family val="2"/>
      </rPr>
      <t>h remblai_GU-FAC (kN/m³)</t>
    </r>
  </si>
  <si>
    <r>
      <rPr>
        <sz val="11"/>
        <color rgb="FF7030A0"/>
        <rFont val="Symbol"/>
        <family val="1"/>
        <charset val="2"/>
      </rPr>
      <t>g</t>
    </r>
    <r>
      <rPr>
        <sz val="11"/>
        <color rgb="FF7030A0"/>
        <rFont val="Calibri"/>
        <family val="2"/>
      </rPr>
      <t>d remblai_GU-Slag/GU-GU (kN/m³)</t>
    </r>
  </si>
  <si>
    <r>
      <rPr>
        <sz val="11"/>
        <color rgb="FF7030A0"/>
        <rFont val="Symbol"/>
        <family val="1"/>
        <charset val="2"/>
      </rPr>
      <t>g</t>
    </r>
    <r>
      <rPr>
        <sz val="11"/>
        <color rgb="FF7030A0"/>
        <rFont val="Calibri"/>
        <family val="2"/>
      </rPr>
      <t>d remblai_GU-FAC (kN/m³)</t>
    </r>
  </si>
  <si>
    <t>%liant volumique_GU-Slag/GU-GUS (Gs=3.98),  Bv</t>
  </si>
  <si>
    <t>%liant volumique_GU-FAC (Gs=3.98),  Bv</t>
  </si>
  <si>
    <r>
      <t xml:space="preserve">Teneur eau vol._GU-Slag/GU-GUS, </t>
    </r>
    <r>
      <rPr>
        <sz val="10"/>
        <color theme="0" tint="-0.499984740745262"/>
        <rFont val="Symbol"/>
        <family val="1"/>
        <charset val="2"/>
      </rPr>
      <t>q</t>
    </r>
  </si>
  <si>
    <r>
      <t xml:space="preserve">teneur eau vol._GU-FAC, </t>
    </r>
    <r>
      <rPr>
        <sz val="11"/>
        <color theme="0" tint="-0.499984740745262"/>
        <rFont val="Symbol"/>
        <family val="1"/>
        <charset val="2"/>
      </rPr>
      <t>q</t>
    </r>
  </si>
  <si>
    <r>
      <t xml:space="preserve">coût ciment </t>
    </r>
    <r>
      <rPr>
        <b/>
        <sz val="11"/>
        <color theme="1"/>
        <rFont val="Calibri"/>
        <family val="2"/>
        <scheme val="minor"/>
      </rPr>
      <t>GU</t>
    </r>
    <r>
      <rPr>
        <sz val="11"/>
        <color theme="1"/>
        <rFont val="Calibri"/>
        <family val="2"/>
        <scheme val="minor"/>
      </rPr>
      <t>_liant_GU-Slag/GU-GUS ($)</t>
    </r>
  </si>
  <si>
    <r>
      <t xml:space="preserve">coût ciment </t>
    </r>
    <r>
      <rPr>
        <b/>
        <sz val="11"/>
        <color theme="1"/>
        <rFont val="Calibri"/>
        <family val="2"/>
        <scheme val="minor"/>
      </rPr>
      <t>GU</t>
    </r>
    <r>
      <rPr>
        <sz val="11"/>
        <color theme="1"/>
        <rFont val="Calibri"/>
        <family val="2"/>
        <scheme val="minor"/>
      </rPr>
      <t xml:space="preserve"> liant_GU-FAC ($)</t>
    </r>
  </si>
  <si>
    <r>
      <t xml:space="preserve">coût ciment </t>
    </r>
    <r>
      <rPr>
        <b/>
        <sz val="11"/>
        <color theme="1"/>
        <rFont val="Calibri"/>
        <family val="2"/>
        <scheme val="minor"/>
      </rPr>
      <t>GUS</t>
    </r>
    <r>
      <rPr>
        <sz val="11"/>
        <color theme="1"/>
        <rFont val="Calibri"/>
        <family val="2"/>
        <scheme val="minor"/>
      </rPr>
      <t>_liant_GU-GUS ($)</t>
    </r>
  </si>
  <si>
    <r>
      <t xml:space="preserve">coût </t>
    </r>
    <r>
      <rPr>
        <b/>
        <sz val="11"/>
        <color theme="1"/>
        <rFont val="Calibri"/>
        <family val="2"/>
        <scheme val="minor"/>
      </rPr>
      <t>FA-C</t>
    </r>
    <r>
      <rPr>
        <sz val="11"/>
        <color theme="1"/>
        <rFont val="Calibri"/>
        <family val="2"/>
        <scheme val="minor"/>
      </rPr>
      <t xml:space="preserve"> liant_GU-FAC ($)</t>
    </r>
  </si>
  <si>
    <r>
      <t xml:space="preserve">coût </t>
    </r>
    <r>
      <rPr>
        <b/>
        <sz val="11"/>
        <color theme="1"/>
        <rFont val="Calibri"/>
        <family val="2"/>
        <scheme val="minor"/>
      </rPr>
      <t>Slag</t>
    </r>
    <r>
      <rPr>
        <sz val="11"/>
        <color theme="1"/>
        <rFont val="Calibri"/>
        <family val="2"/>
        <scheme val="minor"/>
      </rPr>
      <t xml:space="preserve"> liant_GU-Slag ($)</t>
    </r>
  </si>
  <si>
    <r>
      <t xml:space="preserve">coût </t>
    </r>
    <r>
      <rPr>
        <b/>
        <sz val="11"/>
        <color theme="1"/>
        <rFont val="Calibri"/>
        <family val="2"/>
        <scheme val="minor"/>
      </rPr>
      <t>Slag</t>
    </r>
    <r>
      <rPr>
        <sz val="11"/>
        <color theme="1"/>
        <rFont val="Calibri"/>
        <family val="2"/>
        <scheme val="minor"/>
      </rPr>
      <t xml:space="preserve"> liant_GU-GUS ($)</t>
    </r>
  </si>
  <si>
    <t>GU seul</t>
  </si>
  <si>
    <t>Recette #1 (en kg)</t>
  </si>
  <si>
    <t>Recette #2 (en kg)</t>
  </si>
  <si>
    <t>Recette #3 (en tonne)</t>
  </si>
  <si>
    <t>Masse résidus humides Mth</t>
  </si>
  <si>
    <t>Masse résidus secs Mt</t>
  </si>
  <si>
    <t>Masse totale de Liant Mb</t>
  </si>
  <si>
    <r>
      <t>Masse ciment GU-</t>
    </r>
    <r>
      <rPr>
        <b/>
        <i/>
        <sz val="11"/>
        <color rgb="FFFF0000"/>
        <rFont val="Calibri"/>
        <family val="2"/>
        <scheme val="minor"/>
      </rPr>
      <t>Slag/FAC</t>
    </r>
  </si>
  <si>
    <r>
      <t>Masse ciment GU-</t>
    </r>
    <r>
      <rPr>
        <b/>
        <i/>
        <sz val="11"/>
        <color rgb="FFFF0000"/>
        <rFont val="Calibri"/>
        <family val="2"/>
        <scheme val="minor"/>
      </rPr>
      <t>GUS</t>
    </r>
  </si>
  <si>
    <r>
      <t>Masse Slag_</t>
    </r>
    <r>
      <rPr>
        <b/>
        <i/>
        <sz val="11"/>
        <color rgb="FFFF0000"/>
        <rFont val="Calibri"/>
        <family val="2"/>
        <scheme val="minor"/>
      </rPr>
      <t>GU-Slag</t>
    </r>
  </si>
  <si>
    <t>Masse GUS</t>
  </si>
  <si>
    <t>Masse FAC</t>
  </si>
  <si>
    <t>Masse eau à ajouter Mw-aj</t>
  </si>
  <si>
    <t>masse totale d'eau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</si>
</sst>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$&quot;_ ;_ * \(#,##0.00\)\ &quot;$&quot;_ ;_ * &quot;-&quot;??_)\ &quot;$&quot;_ ;_ @_ "/>
    <numFmt numFmtId="164" formatCode="0.0"/>
    <numFmt numFmtId="165" formatCode="0.000000000"/>
    <numFmt numFmtId="166" formatCode="0.0%"/>
    <numFmt numFmtId="167" formatCode="0.0000"/>
    <numFmt numFmtId="168" formatCode="0.000"/>
  </numFmts>
  <fonts count="3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Symbol"/>
      <family val="1"/>
      <charset val="2"/>
    </font>
    <font>
      <b/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sz val="11"/>
      <name val="Symbol"/>
      <family val="2"/>
      <charset val="2"/>
    </font>
    <font>
      <b/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Symbol"/>
      <family val="1"/>
      <charset val="2"/>
    </font>
    <font>
      <sz val="11"/>
      <name val="Calibri"/>
      <family val="2"/>
    </font>
    <font>
      <sz val="11"/>
      <color rgb="FF7030A0"/>
      <name val="Calibri"/>
      <family val="1"/>
      <charset val="2"/>
      <scheme val="minor"/>
    </font>
    <font>
      <sz val="11"/>
      <color rgb="FF7030A0"/>
      <name val="Symbol"/>
      <family val="1"/>
      <charset val="2"/>
    </font>
    <font>
      <sz val="11"/>
      <color rgb="FF7030A0"/>
      <name val="Calibri"/>
      <family val="2"/>
      <scheme val="minor"/>
    </font>
    <font>
      <sz val="11"/>
      <color theme="1" tint="0.499984740745262"/>
      <name val="Calibri"/>
      <family val="1"/>
      <charset val="2"/>
      <scheme val="minor"/>
    </font>
    <font>
      <sz val="11"/>
      <color theme="1" tint="0.499984740745262"/>
      <name val="Symbol"/>
      <family val="1"/>
      <charset val="2"/>
    </font>
    <font>
      <sz val="11"/>
      <name val="Calibri"/>
      <family val="1"/>
      <charset val="2"/>
    </font>
    <font>
      <sz val="11"/>
      <color rgb="FF7030A0"/>
      <name val="Calibri"/>
      <family val="1"/>
      <charset val="2"/>
    </font>
    <font>
      <sz val="11"/>
      <color rgb="FF7030A0"/>
      <name val="Calibri"/>
      <family val="2"/>
    </font>
    <font>
      <b/>
      <sz val="11"/>
      <color rgb="FF7030A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0" tint="-0.499984740745262"/>
      <name val="Symbol"/>
      <family val="1"/>
      <charset val="2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Symbol"/>
      <family val="1"/>
      <charset val="2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1" xfId="1" applyFont="1" applyBorder="1"/>
    <xf numFmtId="165" fontId="0" fillId="0" borderId="0" xfId="0" applyNumberFormat="1"/>
    <xf numFmtId="2" fontId="3" fillId="0" borderId="1" xfId="0" applyNumberFormat="1" applyFont="1" applyBorder="1"/>
    <xf numFmtId="10" fontId="0" fillId="3" borderId="1" xfId="0" applyNumberFormat="1" applyFill="1" applyBorder="1"/>
    <xf numFmtId="0" fontId="3" fillId="4" borderId="1" xfId="0" applyFont="1" applyFill="1" applyBorder="1" applyAlignment="1">
      <alignment horizontal="center"/>
    </xf>
    <xf numFmtId="2" fontId="3" fillId="2" borderId="0" xfId="0" applyNumberFormat="1" applyFont="1" applyFill="1"/>
    <xf numFmtId="0" fontId="4" fillId="0" borderId="0" xfId="0" applyFont="1" applyAlignment="1">
      <alignment horizontal="right" vertical="center"/>
    </xf>
    <xf numFmtId="10" fontId="0" fillId="0" borderId="0" xfId="0" applyNumberFormat="1"/>
    <xf numFmtId="166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 applyAlignment="1">
      <alignment horizontal="right"/>
    </xf>
    <xf numFmtId="2" fontId="6" fillId="0" borderId="0" xfId="0" applyNumberFormat="1" applyFont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2" fontId="0" fillId="2" borderId="0" xfId="0" applyNumberFormat="1" applyFill="1" applyAlignment="1">
      <alignment vertical="center"/>
    </xf>
    <xf numFmtId="0" fontId="12" fillId="0" borderId="0" xfId="0" applyFont="1" applyAlignment="1">
      <alignment horizontal="right" vertical="center"/>
    </xf>
    <xf numFmtId="0" fontId="0" fillId="5" borderId="1" xfId="0" applyFill="1" applyBorder="1"/>
    <xf numFmtId="2" fontId="0" fillId="5" borderId="1" xfId="0" applyNumberFormat="1" applyFill="1" applyBorder="1"/>
    <xf numFmtId="0" fontId="14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0" fillId="9" borderId="0" xfId="0" applyFill="1" applyAlignment="1">
      <alignment horizontal="right" vertical="center"/>
    </xf>
    <xf numFmtId="166" fontId="0" fillId="0" borderId="1" xfId="1" applyNumberFormat="1" applyFont="1" applyBorder="1"/>
    <xf numFmtId="10" fontId="0" fillId="0" borderId="1" xfId="1" applyNumberFormat="1" applyFont="1" applyBorder="1"/>
    <xf numFmtId="0" fontId="15" fillId="0" borderId="0" xfId="0" applyFont="1"/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0" fillId="0" borderId="1" xfId="0" applyNumberFormat="1" applyBorder="1"/>
    <xf numFmtId="10" fontId="0" fillId="0" borderId="1" xfId="0" applyNumberFormat="1" applyBorder="1"/>
    <xf numFmtId="2" fontId="0" fillId="6" borderId="1" xfId="0" applyNumberFormat="1" applyFill="1" applyBorder="1"/>
    <xf numFmtId="168" fontId="0" fillId="6" borderId="1" xfId="0" applyNumberFormat="1" applyFill="1" applyBorder="1"/>
    <xf numFmtId="168" fontId="0" fillId="7" borderId="1" xfId="0" applyNumberForma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0" borderId="1" xfId="0" applyFont="1" applyBorder="1"/>
    <xf numFmtId="0" fontId="3" fillId="0" borderId="1" xfId="0" applyFont="1" applyBorder="1"/>
    <xf numFmtId="0" fontId="8" fillId="0" borderId="1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3" fillId="0" borderId="0" xfId="0" applyFont="1"/>
    <xf numFmtId="0" fontId="27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166" fontId="3" fillId="0" borderId="1" xfId="1" applyNumberFormat="1" applyFont="1" applyBorder="1"/>
    <xf numFmtId="168" fontId="15" fillId="0" borderId="1" xfId="0" applyNumberFormat="1" applyFont="1" applyBorder="1"/>
    <xf numFmtId="0" fontId="0" fillId="5" borderId="2" xfId="0" applyFill="1" applyBorder="1"/>
    <xf numFmtId="2" fontId="0" fillId="5" borderId="2" xfId="0" applyNumberFormat="1" applyFill="1" applyBorder="1"/>
    <xf numFmtId="0" fontId="0" fillId="3" borderId="2" xfId="0" applyFill="1" applyBorder="1"/>
    <xf numFmtId="0" fontId="3" fillId="3" borderId="2" xfId="0" applyFont="1" applyFill="1" applyBorder="1" applyAlignment="1">
      <alignment horizontal="center" vertical="center"/>
    </xf>
    <xf numFmtId="10" fontId="0" fillId="3" borderId="2" xfId="0" applyNumberFormat="1" applyFill="1" applyBorder="1"/>
    <xf numFmtId="10" fontId="0" fillId="0" borderId="2" xfId="0" applyNumberFormat="1" applyBorder="1"/>
    <xf numFmtId="0" fontId="0" fillId="0" borderId="2" xfId="0" applyBorder="1"/>
    <xf numFmtId="2" fontId="0" fillId="6" borderId="2" xfId="0" applyNumberFormat="1" applyFill="1" applyBorder="1"/>
    <xf numFmtId="166" fontId="0" fillId="3" borderId="2" xfId="0" applyNumberFormat="1" applyFill="1" applyBorder="1"/>
    <xf numFmtId="168" fontId="0" fillId="6" borderId="2" xfId="0" applyNumberFormat="1" applyFill="1" applyBorder="1"/>
    <xf numFmtId="168" fontId="0" fillId="7" borderId="2" xfId="0" applyNumberForma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15" fillId="0" borderId="2" xfId="0" applyFont="1" applyBorder="1"/>
    <xf numFmtId="0" fontId="3" fillId="0" borderId="2" xfId="0" applyFont="1" applyBorder="1"/>
    <xf numFmtId="10" fontId="0" fillId="0" borderId="2" xfId="1" applyNumberFormat="1" applyFont="1" applyBorder="1"/>
    <xf numFmtId="2" fontId="0" fillId="0" borderId="2" xfId="0" applyNumberFormat="1" applyBorder="1"/>
    <xf numFmtId="167" fontId="0" fillId="0" borderId="0" xfId="0" applyNumberFormat="1"/>
    <xf numFmtId="166" fontId="0" fillId="0" borderId="0" xfId="0" applyNumberFormat="1"/>
    <xf numFmtId="2" fontId="0" fillId="0" borderId="0" xfId="0" applyNumberFormat="1" applyAlignment="1">
      <alignment vertical="center"/>
    </xf>
    <xf numFmtId="2" fontId="3" fillId="0" borderId="0" xfId="0" applyNumberFormat="1" applyFont="1"/>
    <xf numFmtId="0" fontId="3" fillId="0" borderId="0" xfId="0" applyFont="1" applyAlignment="1">
      <alignment horizontal="center"/>
    </xf>
    <xf numFmtId="9" fontId="0" fillId="0" borderId="0" xfId="1" applyFont="1" applyFill="1" applyBorder="1"/>
    <xf numFmtId="10" fontId="3" fillId="3" borderId="1" xfId="0" applyNumberFormat="1" applyFont="1" applyFill="1" applyBorder="1"/>
    <xf numFmtId="10" fontId="3" fillId="3" borderId="2" xfId="0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166" fontId="11" fillId="0" borderId="1" xfId="1" applyNumberFormat="1" applyFont="1" applyBorder="1" applyAlignment="1">
      <alignment horizontal="right" vertical="center"/>
    </xf>
    <xf numFmtId="168" fontId="3" fillId="0" borderId="1" xfId="0" applyNumberFormat="1" applyFont="1" applyBorder="1"/>
    <xf numFmtId="166" fontId="14" fillId="0" borderId="1" xfId="1" applyNumberFormat="1" applyFont="1" applyBorder="1" applyAlignment="1">
      <alignment horizontal="right" vertical="center"/>
    </xf>
    <xf numFmtId="168" fontId="0" fillId="0" borderId="1" xfId="0" applyNumberFormat="1" applyBorder="1"/>
    <xf numFmtId="166" fontId="2" fillId="0" borderId="1" xfId="1" applyNumberFormat="1" applyFont="1" applyBorder="1"/>
    <xf numFmtId="168" fontId="29" fillId="0" borderId="1" xfId="0" applyNumberFormat="1" applyFont="1" applyBorder="1"/>
    <xf numFmtId="0" fontId="30" fillId="0" borderId="0" xfId="0" applyFont="1" applyAlignment="1">
      <alignment horizontal="right" vertical="center"/>
    </xf>
    <xf numFmtId="168" fontId="32" fillId="0" borderId="1" xfId="0" applyNumberFormat="1" applyFont="1" applyBorder="1"/>
    <xf numFmtId="0" fontId="32" fillId="0" borderId="0" xfId="0" applyFont="1" applyAlignment="1">
      <alignment horizontal="right" vertical="center"/>
    </xf>
    <xf numFmtId="44" fontId="3" fillId="10" borderId="0" xfId="0" applyNumberFormat="1" applyFont="1" applyFill="1"/>
    <xf numFmtId="44" fontId="3" fillId="0" borderId="1" xfId="2" applyFont="1" applyBorder="1" applyAlignment="1">
      <alignment horizontal="right" vertical="center"/>
    </xf>
    <xf numFmtId="44" fontId="0" fillId="0" borderId="1" xfId="2" applyFont="1" applyBorder="1" applyAlignment="1">
      <alignment horizontal="right" vertical="center"/>
    </xf>
    <xf numFmtId="44" fontId="0" fillId="11" borderId="1" xfId="2" applyFont="1" applyFill="1" applyBorder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312420</xdr:colOff>
          <xdr:row>6</xdr:row>
          <xdr:rowOff>7620</xdr:rowOff>
        </xdr:from>
        <xdr:to>
          <xdr:col>4</xdr:col>
          <xdr:colOff>0</xdr:colOff>
          <xdr:row>8</xdr:row>
          <xdr:rowOff>152400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</xdr:row>
          <xdr:rowOff>99060</xdr:rowOff>
        </xdr:from>
        <xdr:to>
          <xdr:col>3</xdr:col>
          <xdr:colOff>739140</xdr:colOff>
          <xdr:row>5</xdr:row>
          <xdr:rowOff>91440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9</xdr:row>
          <xdr:rowOff>99060</xdr:rowOff>
        </xdr:from>
        <xdr:to>
          <xdr:col>3</xdr:col>
          <xdr:colOff>281940</xdr:colOff>
          <xdr:row>12</xdr:row>
          <xdr:rowOff>60960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13</xdr:row>
          <xdr:rowOff>99060</xdr:rowOff>
        </xdr:from>
        <xdr:to>
          <xdr:col>2</xdr:col>
          <xdr:colOff>411480</xdr:colOff>
          <xdr:row>16</xdr:row>
          <xdr:rowOff>30480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16</xdr:row>
          <xdr:rowOff>99060</xdr:rowOff>
        </xdr:from>
        <xdr:to>
          <xdr:col>2</xdr:col>
          <xdr:colOff>662940</xdr:colOff>
          <xdr:row>19</xdr:row>
          <xdr:rowOff>30480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19</xdr:row>
          <xdr:rowOff>99060</xdr:rowOff>
        </xdr:from>
        <xdr:to>
          <xdr:col>1</xdr:col>
          <xdr:colOff>662940</xdr:colOff>
          <xdr:row>20</xdr:row>
          <xdr:rowOff>167640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297180</xdr:colOff>
          <xdr:row>21</xdr:row>
          <xdr:rowOff>0</xdr:rowOff>
        </xdr:from>
        <xdr:to>
          <xdr:col>1</xdr:col>
          <xdr:colOff>662940</xdr:colOff>
          <xdr:row>23</xdr:row>
          <xdr:rowOff>114300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23</xdr:row>
          <xdr:rowOff>160020</xdr:rowOff>
        </xdr:from>
        <xdr:to>
          <xdr:col>3</xdr:col>
          <xdr:colOff>68580</xdr:colOff>
          <xdr:row>26</xdr:row>
          <xdr:rowOff>91440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312420</xdr:colOff>
          <xdr:row>6</xdr:row>
          <xdr:rowOff>7620</xdr:rowOff>
        </xdr:from>
        <xdr:to>
          <xdr:col>4</xdr:col>
          <xdr:colOff>0</xdr:colOff>
          <xdr:row>8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</xdr:row>
          <xdr:rowOff>99060</xdr:rowOff>
        </xdr:from>
        <xdr:to>
          <xdr:col>3</xdr:col>
          <xdr:colOff>739140</xdr:colOff>
          <xdr:row>5</xdr:row>
          <xdr:rowOff>91440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9</xdr:row>
          <xdr:rowOff>99060</xdr:rowOff>
        </xdr:from>
        <xdr:to>
          <xdr:col>3</xdr:col>
          <xdr:colOff>281940</xdr:colOff>
          <xdr:row>12</xdr:row>
          <xdr:rowOff>60960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13</xdr:row>
          <xdr:rowOff>99060</xdr:rowOff>
        </xdr:from>
        <xdr:to>
          <xdr:col>2</xdr:col>
          <xdr:colOff>411480</xdr:colOff>
          <xdr:row>16</xdr:row>
          <xdr:rowOff>30480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16</xdr:row>
          <xdr:rowOff>99060</xdr:rowOff>
        </xdr:from>
        <xdr:to>
          <xdr:col>2</xdr:col>
          <xdr:colOff>662940</xdr:colOff>
          <xdr:row>19</xdr:row>
          <xdr:rowOff>30480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19</xdr:row>
          <xdr:rowOff>99060</xdr:rowOff>
        </xdr:from>
        <xdr:to>
          <xdr:col>1</xdr:col>
          <xdr:colOff>662940</xdr:colOff>
          <xdr:row>20</xdr:row>
          <xdr:rowOff>167640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297180</xdr:colOff>
          <xdr:row>21</xdr:row>
          <xdr:rowOff>0</xdr:rowOff>
        </xdr:from>
        <xdr:to>
          <xdr:col>1</xdr:col>
          <xdr:colOff>662940</xdr:colOff>
          <xdr:row>23</xdr:row>
          <xdr:rowOff>114300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23</xdr:row>
          <xdr:rowOff>160020</xdr:rowOff>
        </xdr:from>
        <xdr:to>
          <xdr:col>3</xdr:col>
          <xdr:colOff>68580</xdr:colOff>
          <xdr:row>26</xdr:row>
          <xdr:rowOff>91440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27</xdr:row>
          <xdr:rowOff>121920</xdr:rowOff>
        </xdr:from>
        <xdr:to>
          <xdr:col>3</xdr:col>
          <xdr:colOff>175260</xdr:colOff>
          <xdr:row>30</xdr:row>
          <xdr:rowOff>53340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312420</xdr:colOff>
          <xdr:row>6</xdr:row>
          <xdr:rowOff>7620</xdr:rowOff>
        </xdr:from>
        <xdr:to>
          <xdr:col>4</xdr:col>
          <xdr:colOff>0</xdr:colOff>
          <xdr:row>8</xdr:row>
          <xdr:rowOff>152400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D3F73B82-D4CA-46A8-AE43-1DC8B2C09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</xdr:row>
          <xdr:rowOff>99060</xdr:rowOff>
        </xdr:from>
        <xdr:to>
          <xdr:col>3</xdr:col>
          <xdr:colOff>739140</xdr:colOff>
          <xdr:row>5</xdr:row>
          <xdr:rowOff>91440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1FEF7CB7-1979-45AE-AC19-BB3D9FB94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9</xdr:row>
          <xdr:rowOff>99060</xdr:rowOff>
        </xdr:from>
        <xdr:to>
          <xdr:col>3</xdr:col>
          <xdr:colOff>281940</xdr:colOff>
          <xdr:row>12</xdr:row>
          <xdr:rowOff>60960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51BEDCC2-CED8-47F8-9475-A828A0798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13</xdr:row>
          <xdr:rowOff>99060</xdr:rowOff>
        </xdr:from>
        <xdr:to>
          <xdr:col>2</xdr:col>
          <xdr:colOff>411480</xdr:colOff>
          <xdr:row>16</xdr:row>
          <xdr:rowOff>30480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44262FC1-2C55-4B48-B848-677B5CEB40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16</xdr:row>
          <xdr:rowOff>99060</xdr:rowOff>
        </xdr:from>
        <xdr:to>
          <xdr:col>2</xdr:col>
          <xdr:colOff>662940</xdr:colOff>
          <xdr:row>19</xdr:row>
          <xdr:rowOff>30480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257E0324-9A10-4B84-A252-52C99F8FF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19</xdr:row>
          <xdr:rowOff>99060</xdr:rowOff>
        </xdr:from>
        <xdr:to>
          <xdr:col>1</xdr:col>
          <xdr:colOff>662940</xdr:colOff>
          <xdr:row>20</xdr:row>
          <xdr:rowOff>167640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44498F07-4735-43D9-BE62-78D8B272D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297180</xdr:colOff>
          <xdr:row>21</xdr:row>
          <xdr:rowOff>0</xdr:rowOff>
        </xdr:from>
        <xdr:to>
          <xdr:col>1</xdr:col>
          <xdr:colOff>662940</xdr:colOff>
          <xdr:row>23</xdr:row>
          <xdr:rowOff>114300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67A98EBA-3A47-4D4D-AFCD-488CFECD2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274320</xdr:colOff>
          <xdr:row>23</xdr:row>
          <xdr:rowOff>160020</xdr:rowOff>
        </xdr:from>
        <xdr:to>
          <xdr:col>3</xdr:col>
          <xdr:colOff>68580</xdr:colOff>
          <xdr:row>26</xdr:row>
          <xdr:rowOff>91440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FA964BC9-F9BF-4F25-8E06-126BA6AC9B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381000</xdr:colOff>
          <xdr:row>27</xdr:row>
          <xdr:rowOff>121920</xdr:rowOff>
        </xdr:from>
        <xdr:to>
          <xdr:col>3</xdr:col>
          <xdr:colOff>175260</xdr:colOff>
          <xdr:row>30</xdr:row>
          <xdr:rowOff>53340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E3B4274B-6491-4DA6-9690-EF3A1734F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1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13.bin"/><Relationship Id="rId17" Type="http://schemas.openxmlformats.org/officeDocument/2006/relationships/image" Target="../media/image7.w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5.bin"/><Relationship Id="rId20" Type="http://schemas.openxmlformats.org/officeDocument/2006/relationships/oleObject" Target="../embeddings/oleObject17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0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12.bin"/><Relationship Id="rId19" Type="http://schemas.openxmlformats.org/officeDocument/2006/relationships/image" Target="../media/image8.wmf"/><Relationship Id="rId4" Type="http://schemas.openxmlformats.org/officeDocument/2006/relationships/oleObject" Target="../embeddings/oleObject9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1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0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25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22.bin"/><Relationship Id="rId17" Type="http://schemas.openxmlformats.org/officeDocument/2006/relationships/image" Target="../media/image7.w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24.bin"/><Relationship Id="rId20" Type="http://schemas.openxmlformats.org/officeDocument/2006/relationships/oleObject" Target="../embeddings/oleObject26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9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21.bin"/><Relationship Id="rId19" Type="http://schemas.openxmlformats.org/officeDocument/2006/relationships/image" Target="../media/image8.wmf"/><Relationship Id="rId4" Type="http://schemas.openxmlformats.org/officeDocument/2006/relationships/oleObject" Target="../embeddings/oleObject18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85EB-53B6-4482-BB19-A83A32EDA3BE}">
  <dimension ref="B1:O41"/>
  <sheetViews>
    <sheetView tabSelected="1" topLeftCell="A7" workbookViewId="0">
      <selection activeCell="I25" sqref="I25"/>
    </sheetView>
  </sheetViews>
  <sheetFormatPr baseColWidth="10" defaultRowHeight="14.4"/>
  <cols>
    <col min="5" max="5" width="27.33203125" customWidth="1"/>
  </cols>
  <sheetData>
    <row r="1" spans="2:15">
      <c r="B1" s="6" t="s">
        <v>27</v>
      </c>
    </row>
    <row r="3" spans="2:15">
      <c r="F3" s="7" t="s">
        <v>2</v>
      </c>
      <c r="G3" s="7" t="s">
        <v>3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</row>
    <row r="4" spans="2:15">
      <c r="E4" s="15" t="s">
        <v>18</v>
      </c>
      <c r="F4" s="4">
        <v>2</v>
      </c>
      <c r="G4" s="4">
        <v>2</v>
      </c>
      <c r="H4" s="4">
        <v>2</v>
      </c>
      <c r="I4" s="4"/>
      <c r="J4" s="4"/>
      <c r="K4" s="4"/>
      <c r="L4" s="4"/>
      <c r="M4" s="4"/>
      <c r="N4" s="4"/>
      <c r="O4" s="4"/>
    </row>
    <row r="5" spans="2:15">
      <c r="E5" s="22" t="s">
        <v>19</v>
      </c>
      <c r="F5" s="18">
        <f>2*F4</f>
        <v>4</v>
      </c>
      <c r="G5" s="18">
        <f t="shared" ref="G5:H5" si="0">2*G4</f>
        <v>4</v>
      </c>
      <c r="H5" s="18">
        <f t="shared" si="0"/>
        <v>4</v>
      </c>
      <c r="I5">
        <f t="shared" ref="H5:L5" si="1">2*I4</f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>2*M4</f>
        <v>0</v>
      </c>
      <c r="N5">
        <f t="shared" ref="N5" si="2">2*N4</f>
        <v>0</v>
      </c>
      <c r="O5">
        <f t="shared" ref="O5" si="3">2*O4</f>
        <v>0</v>
      </c>
    </row>
    <row r="6" spans="2:15">
      <c r="E6" s="20" t="s">
        <v>29</v>
      </c>
      <c r="F6" s="4">
        <f>2*7</f>
        <v>14</v>
      </c>
      <c r="G6" s="4">
        <f t="shared" ref="G6:H6" si="4">2*7</f>
        <v>14</v>
      </c>
      <c r="H6" s="4">
        <f t="shared" si="4"/>
        <v>14</v>
      </c>
      <c r="I6" s="4"/>
      <c r="J6" s="4"/>
      <c r="K6" s="4"/>
      <c r="L6" s="4"/>
      <c r="M6" s="4"/>
      <c r="N6" s="4"/>
      <c r="O6" s="4"/>
    </row>
    <row r="7" spans="2:15">
      <c r="E7" s="15" t="s">
        <v>28</v>
      </c>
      <c r="F7" s="4">
        <v>85.5</v>
      </c>
      <c r="G7" s="4">
        <v>85.5</v>
      </c>
      <c r="H7" s="4">
        <v>85.5</v>
      </c>
      <c r="I7" s="4"/>
      <c r="J7" s="4"/>
      <c r="K7" s="4"/>
      <c r="L7" s="4"/>
      <c r="M7" s="4"/>
      <c r="N7" s="4"/>
      <c r="O7" s="4"/>
    </row>
    <row r="8" spans="2:15">
      <c r="E8" s="22" t="s">
        <v>30</v>
      </c>
      <c r="F8" s="18">
        <f>1/(0.01*F7)-1</f>
        <v>0.16959064327485374</v>
      </c>
      <c r="G8" s="18">
        <f t="shared" ref="G8:H8" si="5">1/(0.01*G7)-1</f>
        <v>0.16959064327485374</v>
      </c>
      <c r="H8" s="18">
        <f t="shared" si="5"/>
        <v>0.16959064327485374</v>
      </c>
      <c r="I8" t="e">
        <f t="shared" ref="H8:L8" si="6">1/(0.01*I7)-1</f>
        <v>#DIV/0!</v>
      </c>
      <c r="J8" t="e">
        <f t="shared" si="6"/>
        <v>#DIV/0!</v>
      </c>
      <c r="K8" t="e">
        <f t="shared" si="6"/>
        <v>#DIV/0!</v>
      </c>
      <c r="L8" t="e">
        <f t="shared" si="6"/>
        <v>#DIV/0!</v>
      </c>
      <c r="M8" t="e">
        <f>1/(0.01*M7)-1</f>
        <v>#DIV/0!</v>
      </c>
      <c r="N8" t="e">
        <f t="shared" ref="N8" si="7">1/(0.01*N7)-1</f>
        <v>#DIV/0!</v>
      </c>
      <c r="O8" t="e">
        <f t="shared" ref="O8" si="8">1/(0.01*O7)-1</f>
        <v>#DIV/0!</v>
      </c>
    </row>
    <row r="9" spans="2:15">
      <c r="E9" s="15" t="s">
        <v>31</v>
      </c>
      <c r="F9" s="17">
        <v>0.76</v>
      </c>
      <c r="G9" s="17">
        <v>0.76</v>
      </c>
      <c r="H9" s="17">
        <v>0.76</v>
      </c>
      <c r="I9" s="17"/>
      <c r="J9" s="17"/>
      <c r="K9" s="17"/>
      <c r="L9" s="17"/>
      <c r="M9" s="17"/>
      <c r="N9" s="17"/>
      <c r="O9" s="17"/>
    </row>
    <row r="10" spans="2:15">
      <c r="E10" s="15" t="s">
        <v>32</v>
      </c>
      <c r="F10" s="17">
        <v>1</v>
      </c>
      <c r="G10" s="17">
        <v>1</v>
      </c>
      <c r="H10" s="17">
        <v>1</v>
      </c>
      <c r="I10" s="17"/>
      <c r="J10" s="17"/>
      <c r="K10" s="17"/>
      <c r="L10" s="17"/>
      <c r="M10" s="17"/>
      <c r="N10" s="17"/>
      <c r="O10" s="17"/>
    </row>
    <row r="11" spans="2:15">
      <c r="E11" s="22" t="s">
        <v>40</v>
      </c>
      <c r="F11">
        <f t="shared" ref="F11:O11" si="9">(2.54*F5)*PI()*(2.54*F4)^2/4</f>
        <v>205.92591950522308</v>
      </c>
      <c r="G11">
        <f t="shared" ref="G11:H11" si="10">(2.54*G5)*PI()*(2.54*G4)^2/4</f>
        <v>205.92591950522308</v>
      </c>
      <c r="H11">
        <f t="shared" si="10"/>
        <v>205.92591950522308</v>
      </c>
      <c r="I11">
        <f t="shared" si="9"/>
        <v>0</v>
      </c>
      <c r="J11">
        <f t="shared" si="9"/>
        <v>0</v>
      </c>
      <c r="K11">
        <f t="shared" si="9"/>
        <v>0</v>
      </c>
      <c r="L11">
        <f t="shared" si="9"/>
        <v>0</v>
      </c>
      <c r="M11">
        <f t="shared" si="9"/>
        <v>0</v>
      </c>
      <c r="N11">
        <f t="shared" si="9"/>
        <v>0</v>
      </c>
      <c r="O11">
        <f t="shared" si="9"/>
        <v>0</v>
      </c>
    </row>
    <row r="12" spans="2:15">
      <c r="E12" s="22" t="s">
        <v>33</v>
      </c>
      <c r="F12" s="19">
        <f t="shared" ref="F12:O12" si="11">F6*F11</f>
        <v>2882.9628730731229</v>
      </c>
      <c r="G12" s="19">
        <f t="shared" ref="G12:H12" si="12">G6*G11</f>
        <v>2882.9628730731229</v>
      </c>
      <c r="H12" s="19">
        <f t="shared" si="12"/>
        <v>2882.9628730731229</v>
      </c>
      <c r="I12" s="3">
        <f t="shared" si="11"/>
        <v>0</v>
      </c>
      <c r="J12" s="3">
        <f t="shared" si="11"/>
        <v>0</v>
      </c>
      <c r="K12" s="3">
        <f t="shared" si="11"/>
        <v>0</v>
      </c>
      <c r="L12" s="3">
        <f t="shared" si="11"/>
        <v>0</v>
      </c>
      <c r="M12" s="3">
        <f t="shared" si="11"/>
        <v>0</v>
      </c>
      <c r="N12" s="3">
        <f t="shared" si="11"/>
        <v>0</v>
      </c>
      <c r="O12" s="3">
        <f t="shared" si="11"/>
        <v>0</v>
      </c>
    </row>
    <row r="13" spans="2:15">
      <c r="E13" s="15" t="s">
        <v>21</v>
      </c>
      <c r="F13" s="4">
        <v>2.96</v>
      </c>
      <c r="G13" s="4">
        <v>2.96</v>
      </c>
      <c r="H13" s="4">
        <v>2.96</v>
      </c>
      <c r="I13" s="4"/>
      <c r="J13" s="4"/>
      <c r="K13" s="4"/>
      <c r="L13" s="4"/>
      <c r="M13" s="4"/>
      <c r="N13" s="4"/>
      <c r="O13" s="4"/>
    </row>
    <row r="14" spans="2:15">
      <c r="E14" s="15" t="s">
        <v>34</v>
      </c>
      <c r="F14" s="12">
        <v>0.08</v>
      </c>
      <c r="G14" s="12">
        <v>0.08</v>
      </c>
      <c r="H14" s="12">
        <v>0.08</v>
      </c>
      <c r="I14" s="12"/>
      <c r="J14" s="12"/>
      <c r="K14" s="12"/>
      <c r="L14" s="12"/>
      <c r="M14" s="12"/>
      <c r="N14" s="12"/>
      <c r="O14" s="12"/>
    </row>
    <row r="15" spans="2:15">
      <c r="E15" s="22" t="s">
        <v>20</v>
      </c>
      <c r="F15" s="18">
        <v>3.15</v>
      </c>
      <c r="G15" s="18">
        <v>3.15</v>
      </c>
      <c r="H15" s="18">
        <v>3.15</v>
      </c>
      <c r="I15">
        <v>3.15</v>
      </c>
      <c r="J15">
        <v>3.15</v>
      </c>
      <c r="K15">
        <v>3.15</v>
      </c>
      <c r="L15">
        <v>3.15</v>
      </c>
      <c r="M15">
        <v>3.15</v>
      </c>
      <c r="N15">
        <v>3.15</v>
      </c>
      <c r="O15">
        <v>3.15</v>
      </c>
    </row>
    <row r="16" spans="2:15">
      <c r="E16" s="22" t="s">
        <v>22</v>
      </c>
      <c r="F16" s="18">
        <v>2.9</v>
      </c>
      <c r="G16" s="18">
        <v>2.9</v>
      </c>
      <c r="H16" s="18">
        <v>2.9</v>
      </c>
      <c r="I16">
        <v>2.9</v>
      </c>
      <c r="J16">
        <v>2.9</v>
      </c>
      <c r="K16">
        <v>2.9</v>
      </c>
      <c r="L16">
        <v>2.9</v>
      </c>
      <c r="M16">
        <v>2.9</v>
      </c>
      <c r="N16">
        <v>2.9</v>
      </c>
      <c r="O16">
        <v>2.9</v>
      </c>
    </row>
    <row r="17" spans="2:15">
      <c r="E17" s="15" t="s">
        <v>23</v>
      </c>
      <c r="F17" s="4" t="s">
        <v>1</v>
      </c>
      <c r="G17" s="4" t="s">
        <v>1</v>
      </c>
      <c r="H17" s="4" t="s">
        <v>1</v>
      </c>
      <c r="I17" s="4"/>
      <c r="J17" s="4"/>
      <c r="K17" s="4"/>
      <c r="L17" s="4"/>
      <c r="M17" s="4"/>
      <c r="N17" s="4"/>
      <c r="O17" s="4"/>
    </row>
    <row r="18" spans="2:15">
      <c r="E18" s="15" t="s">
        <v>36</v>
      </c>
      <c r="F18" s="12">
        <v>0.1</v>
      </c>
      <c r="G18" s="12">
        <v>0.28000000000000003</v>
      </c>
      <c r="H18" s="12">
        <v>0.37</v>
      </c>
      <c r="I18" s="12"/>
      <c r="J18" s="12"/>
      <c r="K18" s="12"/>
      <c r="L18" s="12"/>
      <c r="M18" s="12"/>
      <c r="N18" s="12"/>
      <c r="O18" s="12"/>
    </row>
    <row r="19" spans="2:15">
      <c r="E19" s="22" t="s">
        <v>37</v>
      </c>
      <c r="F19" s="16">
        <f t="shared" ref="F19:O19" si="13">1-F18</f>
        <v>0.9</v>
      </c>
      <c r="G19" s="16">
        <f t="shared" ref="G19:H19" si="14">1-G18</f>
        <v>0.72</v>
      </c>
      <c r="H19" s="16">
        <f t="shared" si="14"/>
        <v>0.63</v>
      </c>
      <c r="I19" s="16">
        <f t="shared" si="13"/>
        <v>1</v>
      </c>
      <c r="J19" s="16">
        <f t="shared" si="13"/>
        <v>1</v>
      </c>
      <c r="K19" s="16">
        <f t="shared" si="13"/>
        <v>1</v>
      </c>
      <c r="L19" s="16">
        <f t="shared" si="13"/>
        <v>1</v>
      </c>
      <c r="M19" s="16">
        <f t="shared" si="13"/>
        <v>1</v>
      </c>
      <c r="N19" s="16">
        <f t="shared" si="13"/>
        <v>1</v>
      </c>
      <c r="O19" s="16">
        <f t="shared" si="13"/>
        <v>1</v>
      </c>
    </row>
    <row r="20" spans="2:15">
      <c r="E20" s="22" t="s">
        <v>38</v>
      </c>
      <c r="F20">
        <f t="shared" ref="F20:O20" si="15">F18-F19*(0.1/0.9)</f>
        <v>0</v>
      </c>
      <c r="G20">
        <f t="shared" ref="G20:H20" si="16">G18-G19*(0.1/0.9)</f>
        <v>0.2</v>
      </c>
      <c r="H20">
        <f t="shared" si="16"/>
        <v>0.3</v>
      </c>
      <c r="I20">
        <f t="shared" si="15"/>
        <v>-0.11111111111111112</v>
      </c>
      <c r="J20">
        <f t="shared" si="15"/>
        <v>-0.11111111111111112</v>
      </c>
      <c r="K20">
        <f t="shared" si="15"/>
        <v>-0.11111111111111112</v>
      </c>
      <c r="L20">
        <f t="shared" si="15"/>
        <v>-0.11111111111111112</v>
      </c>
      <c r="M20">
        <f t="shared" si="15"/>
        <v>-0.11111111111111112</v>
      </c>
      <c r="N20">
        <f t="shared" si="15"/>
        <v>-0.11111111111111112</v>
      </c>
      <c r="O20">
        <f t="shared" si="15"/>
        <v>-0.11111111111111112</v>
      </c>
    </row>
    <row r="21" spans="2:15">
      <c r="E21" s="22" t="s">
        <v>39</v>
      </c>
      <c r="F21">
        <f>1-F20</f>
        <v>1</v>
      </c>
      <c r="G21">
        <f t="shared" ref="G21:H21" si="17">1-G20</f>
        <v>0.8</v>
      </c>
      <c r="H21">
        <f t="shared" si="17"/>
        <v>0.7</v>
      </c>
      <c r="I21">
        <f t="shared" ref="H21:L21" si="18">1-I20</f>
        <v>1.1111111111111112</v>
      </c>
      <c r="J21">
        <f t="shared" si="18"/>
        <v>1.1111111111111112</v>
      </c>
      <c r="K21">
        <f t="shared" si="18"/>
        <v>1.1111111111111112</v>
      </c>
      <c r="L21">
        <f t="shared" si="18"/>
        <v>1.1111111111111112</v>
      </c>
      <c r="M21">
        <f>1-M20</f>
        <v>1.1111111111111112</v>
      </c>
      <c r="N21">
        <f t="shared" ref="N21" si="19">1-N20</f>
        <v>1.1111111111111112</v>
      </c>
      <c r="O21">
        <f t="shared" ref="O21" si="20">1-O20</f>
        <v>1.1111111111111112</v>
      </c>
    </row>
    <row r="22" spans="2:15">
      <c r="E22" s="22" t="s">
        <v>24</v>
      </c>
      <c r="F22" s="2">
        <f t="shared" ref="F22:O22" si="21">(F18/F15+F19/F16)^-1</f>
        <v>2.9232</v>
      </c>
      <c r="G22" s="2">
        <f t="shared" ref="G22:H22" si="22">(G18/G15+G19/G16)^-1</f>
        <v>2.9659090909090908</v>
      </c>
      <c r="H22" s="2">
        <f t="shared" si="22"/>
        <v>2.9877350776778413</v>
      </c>
      <c r="I22" s="2">
        <f t="shared" si="21"/>
        <v>2.9</v>
      </c>
      <c r="J22" s="2">
        <f t="shared" si="21"/>
        <v>2.9</v>
      </c>
      <c r="K22" s="2">
        <f t="shared" si="21"/>
        <v>2.9</v>
      </c>
      <c r="L22" s="2">
        <f t="shared" si="21"/>
        <v>2.9</v>
      </c>
      <c r="M22" s="2">
        <f t="shared" si="21"/>
        <v>2.9</v>
      </c>
      <c r="N22" s="2">
        <f t="shared" si="21"/>
        <v>2.9</v>
      </c>
      <c r="O22" s="2">
        <f t="shared" si="21"/>
        <v>2.9</v>
      </c>
    </row>
    <row r="23" spans="2:15">
      <c r="E23" s="22" t="s">
        <v>25</v>
      </c>
      <c r="F23" s="10">
        <f t="shared" ref="F23:O23" si="23">(1+F14)*(F13*F22)/(F22+F14*F13)</f>
        <v>2.9572423291139245</v>
      </c>
      <c r="G23" s="10">
        <f t="shared" ref="G23:H23" si="24">(1+G14)*(G13*G22)/(G22+G14*G13)</f>
        <v>2.9604369028492927</v>
      </c>
      <c r="H23" s="10">
        <f t="shared" si="24"/>
        <v>2.962036779329702</v>
      </c>
      <c r="I23" s="10">
        <f t="shared" si="23"/>
        <v>0</v>
      </c>
      <c r="J23" s="10">
        <f t="shared" si="23"/>
        <v>0</v>
      </c>
      <c r="K23" s="10">
        <f t="shared" si="23"/>
        <v>0</v>
      </c>
      <c r="L23" s="10">
        <f t="shared" si="23"/>
        <v>0</v>
      </c>
      <c r="M23" s="10">
        <f t="shared" si="23"/>
        <v>0</v>
      </c>
      <c r="N23" s="10">
        <f t="shared" si="23"/>
        <v>0</v>
      </c>
      <c r="O23" s="10">
        <f t="shared" si="23"/>
        <v>0</v>
      </c>
    </row>
    <row r="24" spans="2:15">
      <c r="B24" s="1"/>
      <c r="C24" s="1"/>
      <c r="D24" s="1"/>
      <c r="E24" s="22" t="s">
        <v>26</v>
      </c>
      <c r="F24" s="2">
        <f t="shared" ref="F24:O24" si="25">F23*(F9+(F23/F10)*(1-F9))^-1</f>
        <v>2.0120878749936528</v>
      </c>
      <c r="G24" s="2">
        <f t="shared" ref="G24:H24" si="26">G23*(G9+(G23/G10)*(1-G9))^-1</f>
        <v>2.0132112378910758</v>
      </c>
      <c r="H24" s="2">
        <f t="shared" si="26"/>
        <v>2.0137733898572239</v>
      </c>
      <c r="I24" s="2" t="e">
        <f t="shared" si="25"/>
        <v>#DIV/0!</v>
      </c>
      <c r="J24" s="2" t="e">
        <f t="shared" si="25"/>
        <v>#DIV/0!</v>
      </c>
      <c r="K24" s="2" t="e">
        <f t="shared" si="25"/>
        <v>#DIV/0!</v>
      </c>
      <c r="L24" s="2" t="e">
        <f t="shared" si="25"/>
        <v>#DIV/0!</v>
      </c>
      <c r="M24" s="2" t="e">
        <f t="shared" si="25"/>
        <v>#DIV/0!</v>
      </c>
      <c r="N24" s="2" t="e">
        <f t="shared" si="25"/>
        <v>#DIV/0!</v>
      </c>
      <c r="O24" s="2" t="e">
        <f t="shared" si="25"/>
        <v>#DIV/0!</v>
      </c>
    </row>
    <row r="25" spans="2:15">
      <c r="B25" s="2"/>
      <c r="C25" s="2"/>
      <c r="D25" s="2"/>
      <c r="E25" s="26" t="s">
        <v>35</v>
      </c>
      <c r="F25" s="4">
        <v>1</v>
      </c>
      <c r="G25" s="4">
        <v>1</v>
      </c>
      <c r="H25" s="4">
        <v>1</v>
      </c>
      <c r="I25" s="4"/>
      <c r="J25" s="4"/>
      <c r="K25" s="4"/>
      <c r="L25" s="4"/>
      <c r="M25" s="4"/>
      <c r="N25" s="4"/>
      <c r="O25" s="4"/>
    </row>
    <row r="26" spans="2:15">
      <c r="E26" s="27" t="s">
        <v>41</v>
      </c>
      <c r="F26" s="28">
        <f>F25*F24*F12</f>
        <v>5800.7746409672955</v>
      </c>
      <c r="G26" s="28">
        <f>G25*G24*G12</f>
        <v>5804.0132544935541</v>
      </c>
      <c r="H26" s="28">
        <f>H25*H24*H12</f>
        <v>5805.6339177409836</v>
      </c>
      <c r="I26" s="28" t="e">
        <f t="shared" ref="F26:O26" si="27">I25*I24*I12</f>
        <v>#DIV/0!</v>
      </c>
      <c r="J26" s="28" t="e">
        <f t="shared" si="27"/>
        <v>#DIV/0!</v>
      </c>
      <c r="K26" s="28" t="e">
        <f t="shared" si="27"/>
        <v>#DIV/0!</v>
      </c>
      <c r="L26" s="28" t="e">
        <f t="shared" si="27"/>
        <v>#DIV/0!</v>
      </c>
      <c r="M26" s="28" t="e">
        <f t="shared" si="27"/>
        <v>#DIV/0!</v>
      </c>
      <c r="N26" s="28" t="e">
        <f t="shared" si="27"/>
        <v>#DIV/0!</v>
      </c>
      <c r="O26" s="28" t="e">
        <f t="shared" si="27"/>
        <v>#DIV/0!</v>
      </c>
    </row>
    <row r="27" spans="2:15">
      <c r="E27" s="22" t="s">
        <v>42</v>
      </c>
      <c r="F27" s="3">
        <f t="shared" ref="F27:O27" si="28">F26*(1-F9)</f>
        <v>1392.1859138321508</v>
      </c>
      <c r="G27" s="3">
        <f t="shared" ref="G27:H27" si="29">G26*(1-G9)</f>
        <v>1392.9631810784529</v>
      </c>
      <c r="H27" s="3">
        <f t="shared" si="29"/>
        <v>1393.352140257836</v>
      </c>
      <c r="I27" s="3" t="e">
        <f t="shared" si="28"/>
        <v>#DIV/0!</v>
      </c>
      <c r="J27" s="3" t="e">
        <f t="shared" si="28"/>
        <v>#DIV/0!</v>
      </c>
      <c r="K27" s="3" t="e">
        <f t="shared" si="28"/>
        <v>#DIV/0!</v>
      </c>
      <c r="L27" s="3" t="e">
        <f t="shared" si="28"/>
        <v>#DIV/0!</v>
      </c>
      <c r="M27" s="3" t="e">
        <f t="shared" si="28"/>
        <v>#DIV/0!</v>
      </c>
      <c r="N27" s="3" t="e">
        <f t="shared" si="28"/>
        <v>#DIV/0!</v>
      </c>
      <c r="O27" s="3" t="e">
        <f t="shared" si="28"/>
        <v>#DIV/0!</v>
      </c>
    </row>
    <row r="28" spans="2:15">
      <c r="E28" s="22" t="s">
        <v>43</v>
      </c>
      <c r="F28" s="2">
        <f t="shared" ref="F28:O28" si="30">0.01*F7*F29</f>
        <v>4082.0265991992073</v>
      </c>
      <c r="G28" s="2">
        <f t="shared" ref="G28:H28" si="31">0.01*G7*G29</f>
        <v>4084.3056235325007</v>
      </c>
      <c r="H28" s="2">
        <f t="shared" si="31"/>
        <v>4085.4460902621731</v>
      </c>
      <c r="I28" s="2" t="e">
        <f t="shared" si="30"/>
        <v>#DIV/0!</v>
      </c>
      <c r="J28" s="2" t="e">
        <f t="shared" si="30"/>
        <v>#DIV/0!</v>
      </c>
      <c r="K28" s="2" t="e">
        <f t="shared" si="30"/>
        <v>#DIV/0!</v>
      </c>
      <c r="L28" s="2" t="e">
        <f t="shared" si="30"/>
        <v>#DIV/0!</v>
      </c>
      <c r="M28" s="2" t="e">
        <f t="shared" si="30"/>
        <v>#DIV/0!</v>
      </c>
      <c r="N28" s="2" t="e">
        <f t="shared" si="30"/>
        <v>#DIV/0!</v>
      </c>
      <c r="O28" s="2" t="e">
        <f t="shared" si="30"/>
        <v>#DIV/0!</v>
      </c>
    </row>
    <row r="29" spans="2:15">
      <c r="E29" s="27" t="s">
        <v>44</v>
      </c>
      <c r="F29" s="14">
        <f t="shared" ref="F29:O29" si="32">F9*(1+F8)*(F26/(1+F14))</f>
        <v>4774.3001160224649</v>
      </c>
      <c r="G29" s="14">
        <f t="shared" ref="G29:H29" si="33">G9*(1+G8)*(G26/(1+G14))</f>
        <v>4776.9656415584805</v>
      </c>
      <c r="H29" s="14">
        <f t="shared" si="33"/>
        <v>4778.2995207744716</v>
      </c>
      <c r="I29" s="14" t="e">
        <f t="shared" si="32"/>
        <v>#DIV/0!</v>
      </c>
      <c r="J29" s="14" t="e">
        <f t="shared" si="32"/>
        <v>#DIV/0!</v>
      </c>
      <c r="K29" s="14" t="e">
        <f t="shared" si="32"/>
        <v>#DIV/0!</v>
      </c>
      <c r="L29" s="14" t="e">
        <f t="shared" si="32"/>
        <v>#DIV/0!</v>
      </c>
      <c r="M29" s="14" t="e">
        <f t="shared" si="32"/>
        <v>#DIV/0!</v>
      </c>
      <c r="N29" s="14" t="e">
        <f t="shared" si="32"/>
        <v>#DIV/0!</v>
      </c>
      <c r="O29" s="14" t="e">
        <f t="shared" si="32"/>
        <v>#DIV/0!</v>
      </c>
    </row>
    <row r="30" spans="2:15">
      <c r="E30" s="22" t="s">
        <v>45</v>
      </c>
      <c r="F30" s="3">
        <f t="shared" ref="F30:O30" si="34">F9*F14*(F26/(1+F14))</f>
        <v>326.56212793593659</v>
      </c>
      <c r="G30" s="3">
        <f t="shared" ref="G30:H30" si="35">G9*G14*(G26/(1+G14))</f>
        <v>326.74444988260007</v>
      </c>
      <c r="H30" s="3">
        <f t="shared" si="35"/>
        <v>326.83568722097391</v>
      </c>
      <c r="I30" s="3" t="e">
        <f t="shared" si="34"/>
        <v>#DIV/0!</v>
      </c>
      <c r="J30" s="3" t="e">
        <f t="shared" si="34"/>
        <v>#DIV/0!</v>
      </c>
      <c r="K30" s="3" t="e">
        <f t="shared" si="34"/>
        <v>#DIV/0!</v>
      </c>
      <c r="L30" s="3" t="e">
        <f t="shared" si="34"/>
        <v>#DIV/0!</v>
      </c>
      <c r="M30" s="3" t="e">
        <f t="shared" si="34"/>
        <v>#DIV/0!</v>
      </c>
      <c r="N30" s="3" t="e">
        <f t="shared" si="34"/>
        <v>#DIV/0!</v>
      </c>
      <c r="O30" s="3" t="e">
        <f t="shared" si="34"/>
        <v>#DIV/0!</v>
      </c>
    </row>
    <row r="31" spans="2:15">
      <c r="E31" s="27" t="s">
        <v>46</v>
      </c>
      <c r="F31" s="14">
        <f t="shared" ref="F31:O31" si="36">F20*F30</f>
        <v>0</v>
      </c>
      <c r="G31" s="14">
        <f t="shared" ref="G31:H31" si="37">G20*G30</f>
        <v>65.348889976520013</v>
      </c>
      <c r="H31" s="14">
        <f t="shared" si="37"/>
        <v>98.050706166292173</v>
      </c>
      <c r="I31" s="14" t="e">
        <f t="shared" si="36"/>
        <v>#DIV/0!</v>
      </c>
      <c r="J31" s="14" t="e">
        <f t="shared" si="36"/>
        <v>#DIV/0!</v>
      </c>
      <c r="K31" s="14" t="e">
        <f t="shared" si="36"/>
        <v>#DIV/0!</v>
      </c>
      <c r="L31" s="14" t="e">
        <f t="shared" si="36"/>
        <v>#DIV/0!</v>
      </c>
      <c r="M31" s="14" t="e">
        <f t="shared" si="36"/>
        <v>#DIV/0!</v>
      </c>
      <c r="N31" s="14" t="e">
        <f t="shared" si="36"/>
        <v>#DIV/0!</v>
      </c>
      <c r="O31" s="14" t="e">
        <f t="shared" si="36"/>
        <v>#DIV/0!</v>
      </c>
    </row>
    <row r="32" spans="2:15">
      <c r="E32" s="27" t="s">
        <v>47</v>
      </c>
      <c r="F32" s="14">
        <f t="shared" ref="F32:O32" si="38">F21*F30</f>
        <v>326.56212793593659</v>
      </c>
      <c r="G32" s="14">
        <f t="shared" ref="G32:H32" si="39">G21*G30</f>
        <v>261.39555990608005</v>
      </c>
      <c r="H32" s="14">
        <f t="shared" si="39"/>
        <v>228.78498105468171</v>
      </c>
      <c r="I32" s="14" t="e">
        <f t="shared" si="38"/>
        <v>#DIV/0!</v>
      </c>
      <c r="J32" s="14" t="e">
        <f t="shared" si="38"/>
        <v>#DIV/0!</v>
      </c>
      <c r="K32" s="14" t="e">
        <f t="shared" si="38"/>
        <v>#DIV/0!</v>
      </c>
      <c r="L32" s="14" t="e">
        <f t="shared" si="38"/>
        <v>#DIV/0!</v>
      </c>
      <c r="M32" s="14" t="e">
        <f t="shared" si="38"/>
        <v>#DIV/0!</v>
      </c>
      <c r="N32" s="14" t="e">
        <f t="shared" si="38"/>
        <v>#DIV/0!</v>
      </c>
      <c r="O32" s="14" t="e">
        <f t="shared" si="38"/>
        <v>#DIV/0!</v>
      </c>
    </row>
    <row r="33" spans="5:15">
      <c r="E33" s="27" t="s">
        <v>48</v>
      </c>
      <c r="F33" s="14">
        <f t="shared" ref="F33:O33" si="40">F26*(1-F9)-F28*F8</f>
        <v>699.91239700889378</v>
      </c>
      <c r="G33" s="14">
        <f t="shared" ref="G33:H33" si="41">G26*(1-G9)-G28*G8</f>
        <v>700.30316305247345</v>
      </c>
      <c r="H33" s="14">
        <f t="shared" si="41"/>
        <v>700.49870974553789</v>
      </c>
      <c r="I33" s="14" t="e">
        <f t="shared" si="40"/>
        <v>#DIV/0!</v>
      </c>
      <c r="J33" s="14" t="e">
        <f t="shared" si="40"/>
        <v>#DIV/0!</v>
      </c>
      <c r="K33" s="14" t="e">
        <f t="shared" si="40"/>
        <v>#DIV/0!</v>
      </c>
      <c r="L33" s="14" t="e">
        <f t="shared" si="40"/>
        <v>#DIV/0!</v>
      </c>
      <c r="M33" s="14" t="e">
        <f t="shared" si="40"/>
        <v>#DIV/0!</v>
      </c>
      <c r="N33" s="14" t="e">
        <f t="shared" si="40"/>
        <v>#DIV/0!</v>
      </c>
      <c r="O33" s="14" t="e">
        <f t="shared" si="40"/>
        <v>#DIV/0!</v>
      </c>
    </row>
    <row r="35" spans="5:15">
      <c r="E35" s="8" t="s">
        <v>0</v>
      </c>
      <c r="F35" s="13" t="str">
        <f t="shared" ref="F35:O35" si="42">F3</f>
        <v>Recette #1</v>
      </c>
      <c r="G35" s="13" t="str">
        <f t="shared" ref="G35:H35" si="43">G3</f>
        <v>Recette #2</v>
      </c>
      <c r="H35" s="13" t="str">
        <f t="shared" si="43"/>
        <v>Recette #3</v>
      </c>
      <c r="I35" s="13" t="str">
        <f t="shared" si="42"/>
        <v>Recette #4</v>
      </c>
      <c r="J35" s="13" t="str">
        <f t="shared" si="42"/>
        <v>Recette #5</v>
      </c>
      <c r="K35" s="13" t="str">
        <f t="shared" si="42"/>
        <v>Recette #6</v>
      </c>
      <c r="L35" s="13" t="str">
        <f t="shared" si="42"/>
        <v>Recette #7</v>
      </c>
      <c r="M35" s="13" t="str">
        <f t="shared" si="42"/>
        <v>Recette #8</v>
      </c>
      <c r="N35" s="13" t="str">
        <f t="shared" si="42"/>
        <v>Recette #9</v>
      </c>
      <c r="O35" s="13" t="str">
        <f t="shared" si="42"/>
        <v>Recette #10</v>
      </c>
    </row>
    <row r="36" spans="5:15">
      <c r="E36" s="5" t="s">
        <v>4</v>
      </c>
      <c r="F36" s="9">
        <f t="shared" ref="F36:O36" si="44">F9</f>
        <v>0.76</v>
      </c>
      <c r="G36" s="9">
        <f t="shared" ref="G36:H36" si="45">G9</f>
        <v>0.76</v>
      </c>
      <c r="H36" s="9">
        <f t="shared" si="45"/>
        <v>0.76</v>
      </c>
      <c r="I36" s="9">
        <f t="shared" si="44"/>
        <v>0</v>
      </c>
      <c r="J36" s="9">
        <f t="shared" si="44"/>
        <v>0</v>
      </c>
      <c r="K36" s="9">
        <f t="shared" si="44"/>
        <v>0</v>
      </c>
      <c r="L36" s="9">
        <f t="shared" si="44"/>
        <v>0</v>
      </c>
      <c r="M36" s="9">
        <f t="shared" si="44"/>
        <v>0</v>
      </c>
      <c r="N36" s="9">
        <f t="shared" si="44"/>
        <v>0</v>
      </c>
      <c r="O36" s="9">
        <f t="shared" si="44"/>
        <v>0</v>
      </c>
    </row>
    <row r="37" spans="5:15">
      <c r="E37" s="23" t="s">
        <v>5</v>
      </c>
      <c r="F37" s="11">
        <f>F29</f>
        <v>4774.3001160224649</v>
      </c>
      <c r="G37" s="11">
        <f t="shared" ref="G37:H37" si="46">G29</f>
        <v>4776.9656415584805</v>
      </c>
      <c r="H37" s="11">
        <f t="shared" si="46"/>
        <v>4778.2995207744716</v>
      </c>
      <c r="I37" s="11" t="e">
        <f t="shared" ref="H37:L37" si="47">I29</f>
        <v>#DIV/0!</v>
      </c>
      <c r="J37" s="11" t="e">
        <f t="shared" si="47"/>
        <v>#DIV/0!</v>
      </c>
      <c r="K37" s="11" t="e">
        <f t="shared" si="47"/>
        <v>#DIV/0!</v>
      </c>
      <c r="L37" s="11" t="e">
        <f t="shared" si="47"/>
        <v>#DIV/0!</v>
      </c>
      <c r="M37" s="11" t="e">
        <f>M29</f>
        <v>#DIV/0!</v>
      </c>
      <c r="N37" s="11" t="e">
        <f t="shared" ref="N37:O37" si="48">N29</f>
        <v>#DIV/0!</v>
      </c>
      <c r="O37" s="11" t="e">
        <f t="shared" si="48"/>
        <v>#DIV/0!</v>
      </c>
    </row>
    <row r="38" spans="5:15">
      <c r="E38" s="24" t="s">
        <v>6</v>
      </c>
      <c r="F38" s="11">
        <f t="shared" ref="F38:G40" si="49">F31</f>
        <v>0</v>
      </c>
      <c r="G38" s="11">
        <f t="shared" ref="G38:H38" si="50">G31</f>
        <v>65.348889976520013</v>
      </c>
      <c r="H38" s="11">
        <f t="shared" si="50"/>
        <v>98.050706166292173</v>
      </c>
      <c r="I38" s="11" t="e">
        <f t="shared" ref="H38:L38" si="51">I31</f>
        <v>#DIV/0!</v>
      </c>
      <c r="J38" s="11" t="e">
        <f t="shared" si="51"/>
        <v>#DIV/0!</v>
      </c>
      <c r="K38" s="11" t="e">
        <f t="shared" si="51"/>
        <v>#DIV/0!</v>
      </c>
      <c r="L38" s="11" t="e">
        <f t="shared" si="51"/>
        <v>#DIV/0!</v>
      </c>
      <c r="M38" s="11" t="e">
        <f>M31</f>
        <v>#DIV/0!</v>
      </c>
      <c r="N38" s="11" t="e">
        <f t="shared" ref="N38:O38" si="52">N31</f>
        <v>#DIV/0!</v>
      </c>
      <c r="O38" s="11" t="e">
        <f t="shared" si="52"/>
        <v>#DIV/0!</v>
      </c>
    </row>
    <row r="39" spans="5:15">
      <c r="E39" s="24" t="s">
        <v>7</v>
      </c>
      <c r="F39" s="11">
        <f t="shared" si="49"/>
        <v>326.56212793593659</v>
      </c>
      <c r="G39" s="11">
        <f t="shared" ref="G39:H39" si="53">G32</f>
        <v>261.39555990608005</v>
      </c>
      <c r="H39" s="11">
        <f t="shared" si="53"/>
        <v>228.78498105468171</v>
      </c>
      <c r="I39" s="11" t="e">
        <f t="shared" ref="H39:L39" si="54">I32</f>
        <v>#DIV/0!</v>
      </c>
      <c r="J39" s="11" t="e">
        <f t="shared" si="54"/>
        <v>#DIV/0!</v>
      </c>
      <c r="K39" s="11" t="e">
        <f t="shared" si="54"/>
        <v>#DIV/0!</v>
      </c>
      <c r="L39" s="11" t="e">
        <f t="shared" si="54"/>
        <v>#DIV/0!</v>
      </c>
      <c r="M39" s="11" t="e">
        <f>M32</f>
        <v>#DIV/0!</v>
      </c>
      <c r="N39" s="11" t="e">
        <f t="shared" ref="N39:O39" si="55">N32</f>
        <v>#DIV/0!</v>
      </c>
      <c r="O39" s="11" t="e">
        <f t="shared" si="55"/>
        <v>#DIV/0!</v>
      </c>
    </row>
    <row r="40" spans="5:15">
      <c r="E40" s="24" t="s">
        <v>8</v>
      </c>
      <c r="F40" s="11">
        <f t="shared" si="49"/>
        <v>699.91239700889378</v>
      </c>
      <c r="G40" s="11">
        <f t="shared" ref="G40:H40" si="56">G33</f>
        <v>700.30316305247345</v>
      </c>
      <c r="H40" s="11">
        <f t="shared" si="56"/>
        <v>700.49870974553789</v>
      </c>
      <c r="I40" s="11" t="e">
        <f t="shared" ref="H40:L40" si="57">I33</f>
        <v>#DIV/0!</v>
      </c>
      <c r="J40" s="11" t="e">
        <f t="shared" si="57"/>
        <v>#DIV/0!</v>
      </c>
      <c r="K40" s="11" t="e">
        <f t="shared" si="57"/>
        <v>#DIV/0!</v>
      </c>
      <c r="L40" s="11" t="e">
        <f t="shared" si="57"/>
        <v>#DIV/0!</v>
      </c>
      <c r="M40" s="11" t="e">
        <f>M33</f>
        <v>#DIV/0!</v>
      </c>
      <c r="N40" s="11" t="e">
        <f t="shared" ref="N40:O40" si="58">N33</f>
        <v>#DIV/0!</v>
      </c>
      <c r="O40" s="11" t="e">
        <f t="shared" si="58"/>
        <v>#DIV/0!</v>
      </c>
    </row>
    <row r="41" spans="5:15">
      <c r="E41" s="25" t="s">
        <v>9</v>
      </c>
      <c r="F41" s="21">
        <f>SUM(F37:F40)</f>
        <v>5800.7746409672955</v>
      </c>
      <c r="G41" s="21">
        <f t="shared" ref="G41:H41" si="59">SUM(G37:G40)</f>
        <v>5804.0132544935541</v>
      </c>
      <c r="H41" s="21">
        <f t="shared" si="59"/>
        <v>5805.6339177409827</v>
      </c>
      <c r="I41" s="21" t="e">
        <f t="shared" ref="H41:L41" si="60">SUM(I37:I40)</f>
        <v>#DIV/0!</v>
      </c>
      <c r="J41" s="21" t="e">
        <f t="shared" si="60"/>
        <v>#DIV/0!</v>
      </c>
      <c r="K41" s="21" t="e">
        <f t="shared" si="60"/>
        <v>#DIV/0!</v>
      </c>
      <c r="L41" s="21" t="e">
        <f t="shared" si="60"/>
        <v>#DIV/0!</v>
      </c>
      <c r="M41" s="21" t="e">
        <f>SUM(M37:M40)</f>
        <v>#DIV/0!</v>
      </c>
      <c r="N41" s="21" t="e">
        <f t="shared" ref="N41" si="61">SUM(N37:N40)</f>
        <v>#DIV/0!</v>
      </c>
      <c r="O41" s="21" t="e">
        <f t="shared" ref="O41" si="62">SUM(O37:O40)</f>
        <v>#DIV/0!</v>
      </c>
    </row>
  </sheetData>
  <phoneticPr fontId="1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30" r:id="rId4">
          <objectPr defaultSize="0" autoPict="0" r:id="rId5">
            <anchor moveWithCells="1" sizeWithCells="1">
              <from>
                <xdr:col>0</xdr:col>
                <xdr:colOff>312420</xdr:colOff>
                <xdr:row>6</xdr:row>
                <xdr:rowOff>7620</xdr:rowOff>
              </from>
              <to>
                <xdr:col>4</xdr:col>
                <xdr:colOff>0</xdr:colOff>
                <xdr:row>8</xdr:row>
                <xdr:rowOff>152400</xdr:rowOff>
              </to>
            </anchor>
          </objectPr>
        </oleObject>
      </mc:Choice>
      <mc:Fallback>
        <oleObject progId="Equation.DSMT4" shapeId="1030" r:id="rId4"/>
      </mc:Fallback>
    </mc:AlternateContent>
    <mc:AlternateContent xmlns:mc="http://schemas.openxmlformats.org/markup-compatibility/2006">
      <mc:Choice Requires="x14">
        <oleObject progId="Equation.DSMT4" shapeId="1031" r:id="rId6">
          <objectPr defaultSize="0" autoPict="0" r:id="rId7">
            <anchor moveWithCells="1" sizeWithCells="1">
              <from>
                <xdr:col>0</xdr:col>
                <xdr:colOff>274320</xdr:colOff>
                <xdr:row>2</xdr:row>
                <xdr:rowOff>99060</xdr:rowOff>
              </from>
              <to>
                <xdr:col>3</xdr:col>
                <xdr:colOff>739140</xdr:colOff>
                <xdr:row>5</xdr:row>
                <xdr:rowOff>91440</xdr:rowOff>
              </to>
            </anchor>
          </objectPr>
        </oleObject>
      </mc:Choice>
      <mc:Fallback>
        <oleObject progId="Equation.DSMT4" shapeId="1031" r:id="rId6"/>
      </mc:Fallback>
    </mc:AlternateContent>
    <mc:AlternateContent xmlns:mc="http://schemas.openxmlformats.org/markup-compatibility/2006">
      <mc:Choice Requires="x14">
        <oleObject progId="Equation.DSMT4" shapeId="1032" r:id="rId8">
          <objectPr defaultSize="0" autoPict="0" r:id="rId9">
            <anchor moveWithCells="1" sizeWithCells="1">
              <from>
                <xdr:col>0</xdr:col>
                <xdr:colOff>274320</xdr:colOff>
                <xdr:row>9</xdr:row>
                <xdr:rowOff>99060</xdr:rowOff>
              </from>
              <to>
                <xdr:col>3</xdr:col>
                <xdr:colOff>281940</xdr:colOff>
                <xdr:row>12</xdr:row>
                <xdr:rowOff>60960</xdr:rowOff>
              </to>
            </anchor>
          </objectPr>
        </oleObject>
      </mc:Choice>
      <mc:Fallback>
        <oleObject progId="Equation.DSMT4" shapeId="1032" r:id="rId8"/>
      </mc:Fallback>
    </mc:AlternateContent>
    <mc:AlternateContent xmlns:mc="http://schemas.openxmlformats.org/markup-compatibility/2006">
      <mc:Choice Requires="x14">
        <oleObject progId="Equation.DSMT4" shapeId="1033" r:id="rId10">
          <objectPr defaultSize="0" autoPict="0" r:id="rId11">
            <anchor moveWithCells="1" sizeWithCells="1">
              <from>
                <xdr:col>0</xdr:col>
                <xdr:colOff>274320</xdr:colOff>
                <xdr:row>13</xdr:row>
                <xdr:rowOff>99060</xdr:rowOff>
              </from>
              <to>
                <xdr:col>2</xdr:col>
                <xdr:colOff>411480</xdr:colOff>
                <xdr:row>16</xdr:row>
                <xdr:rowOff>30480</xdr:rowOff>
              </to>
            </anchor>
          </objectPr>
        </oleObject>
      </mc:Choice>
      <mc:Fallback>
        <oleObject progId="Equation.DSMT4" shapeId="1033" r:id="rId10"/>
      </mc:Fallback>
    </mc:AlternateContent>
    <mc:AlternateContent xmlns:mc="http://schemas.openxmlformats.org/markup-compatibility/2006">
      <mc:Choice Requires="x14">
        <oleObject progId="Equation.DSMT4" shapeId="1034" r:id="rId12">
          <objectPr defaultSize="0" autoPict="0" r:id="rId13">
            <anchor moveWithCells="1" sizeWithCells="1">
              <from>
                <xdr:col>0</xdr:col>
                <xdr:colOff>274320</xdr:colOff>
                <xdr:row>16</xdr:row>
                <xdr:rowOff>99060</xdr:rowOff>
              </from>
              <to>
                <xdr:col>2</xdr:col>
                <xdr:colOff>662940</xdr:colOff>
                <xdr:row>19</xdr:row>
                <xdr:rowOff>30480</xdr:rowOff>
              </to>
            </anchor>
          </objectPr>
        </oleObject>
      </mc:Choice>
      <mc:Fallback>
        <oleObject progId="Equation.DSMT4" shapeId="1034" r:id="rId12"/>
      </mc:Fallback>
    </mc:AlternateContent>
    <mc:AlternateContent xmlns:mc="http://schemas.openxmlformats.org/markup-compatibility/2006">
      <mc:Choice Requires="x14">
        <oleObject progId="Equation.DSMT4" shapeId="1035" r:id="rId14">
          <objectPr defaultSize="0" autoPict="0" r:id="rId15">
            <anchor moveWithCells="1" sizeWithCells="1">
              <from>
                <xdr:col>0</xdr:col>
                <xdr:colOff>274320</xdr:colOff>
                <xdr:row>19</xdr:row>
                <xdr:rowOff>99060</xdr:rowOff>
              </from>
              <to>
                <xdr:col>1</xdr:col>
                <xdr:colOff>662940</xdr:colOff>
                <xdr:row>20</xdr:row>
                <xdr:rowOff>167640</xdr:rowOff>
              </to>
            </anchor>
          </objectPr>
        </oleObject>
      </mc:Choice>
      <mc:Fallback>
        <oleObject progId="Equation.DSMT4" shapeId="1035" r:id="rId14"/>
      </mc:Fallback>
    </mc:AlternateContent>
    <mc:AlternateContent xmlns:mc="http://schemas.openxmlformats.org/markup-compatibility/2006">
      <mc:Choice Requires="x14">
        <oleObject progId="Equation.DSMT4" shapeId="1036" r:id="rId16">
          <objectPr defaultSize="0" autoPict="0" r:id="rId17">
            <anchor moveWithCells="1" sizeWithCells="1">
              <from>
                <xdr:col>0</xdr:col>
                <xdr:colOff>297180</xdr:colOff>
                <xdr:row>21</xdr:row>
                <xdr:rowOff>0</xdr:rowOff>
              </from>
              <to>
                <xdr:col>1</xdr:col>
                <xdr:colOff>662940</xdr:colOff>
                <xdr:row>23</xdr:row>
                <xdr:rowOff>114300</xdr:rowOff>
              </to>
            </anchor>
          </objectPr>
        </oleObject>
      </mc:Choice>
      <mc:Fallback>
        <oleObject progId="Equation.DSMT4" shapeId="1036" r:id="rId16"/>
      </mc:Fallback>
    </mc:AlternateContent>
    <mc:AlternateContent xmlns:mc="http://schemas.openxmlformats.org/markup-compatibility/2006">
      <mc:Choice Requires="x14">
        <oleObject progId="Equation.DSMT4" shapeId="1037" r:id="rId18">
          <objectPr defaultSize="0" autoPict="0" r:id="rId19">
            <anchor moveWithCells="1" sizeWithCells="1">
              <from>
                <xdr:col>0</xdr:col>
                <xdr:colOff>274320</xdr:colOff>
                <xdr:row>23</xdr:row>
                <xdr:rowOff>160020</xdr:rowOff>
              </from>
              <to>
                <xdr:col>3</xdr:col>
                <xdr:colOff>68580</xdr:colOff>
                <xdr:row>26</xdr:row>
                <xdr:rowOff>91440</xdr:rowOff>
              </to>
            </anchor>
          </objectPr>
        </oleObject>
      </mc:Choice>
      <mc:Fallback>
        <oleObject progId="Equation.DSMT4" shapeId="1037" r:id="rId1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36B1-2BA8-4A15-A516-7CA146D7DF75}">
  <dimension ref="B1:O100"/>
  <sheetViews>
    <sheetView topLeftCell="B1" workbookViewId="0">
      <selection activeCell="J99" sqref="J99"/>
    </sheetView>
  </sheetViews>
  <sheetFormatPr baseColWidth="10" defaultRowHeight="14.4"/>
  <cols>
    <col min="5" max="5" width="41.6640625" customWidth="1"/>
    <col min="8" max="8" width="17.21875" customWidth="1"/>
  </cols>
  <sheetData>
    <row r="1" spans="2:15">
      <c r="B1" s="6" t="s">
        <v>27</v>
      </c>
    </row>
    <row r="3" spans="2:15">
      <c r="F3" s="8" t="s">
        <v>2</v>
      </c>
      <c r="G3" s="8" t="s">
        <v>3</v>
      </c>
      <c r="H3" s="8" t="s">
        <v>10</v>
      </c>
      <c r="I3" s="7"/>
      <c r="J3" s="7"/>
      <c r="K3" s="7"/>
      <c r="L3" s="7"/>
      <c r="M3" s="7"/>
      <c r="N3" s="7"/>
      <c r="O3" s="7"/>
    </row>
    <row r="4" spans="2:15">
      <c r="E4" s="29" t="s">
        <v>59</v>
      </c>
      <c r="F4" s="30">
        <v>2.94</v>
      </c>
      <c r="G4" s="66">
        <v>2.94</v>
      </c>
      <c r="H4" s="30">
        <v>2.94</v>
      </c>
    </row>
    <row r="5" spans="2:15">
      <c r="E5" s="29" t="s">
        <v>60</v>
      </c>
      <c r="F5" s="30">
        <v>3.15</v>
      </c>
      <c r="G5" s="66">
        <v>3.15</v>
      </c>
      <c r="H5" s="30">
        <v>3.15</v>
      </c>
    </row>
    <row r="6" spans="2:15">
      <c r="E6" s="29" t="s">
        <v>61</v>
      </c>
      <c r="F6" s="30">
        <v>2.62</v>
      </c>
      <c r="G6" s="66">
        <v>2.62</v>
      </c>
      <c r="H6" s="30">
        <v>2.62</v>
      </c>
    </row>
    <row r="7" spans="2:15">
      <c r="E7" s="29" t="s">
        <v>62</v>
      </c>
      <c r="F7" s="31">
        <f>(0.1/F5+0.9/F4)^-1</f>
        <v>2.9597315436241609</v>
      </c>
      <c r="G7" s="67">
        <f>(0.1/G5+0.9/G4)^-1</f>
        <v>2.9597315436241609</v>
      </c>
      <c r="H7" s="31">
        <f>(0.1/H5+0.9/H4)^-1</f>
        <v>2.9597315436241609</v>
      </c>
    </row>
    <row r="8" spans="2:15">
      <c r="E8" s="29" t="s">
        <v>63</v>
      </c>
      <c r="F8" s="4">
        <v>2.98</v>
      </c>
      <c r="G8" s="4">
        <v>2.98</v>
      </c>
      <c r="H8" s="4">
        <v>3.17</v>
      </c>
    </row>
    <row r="9" spans="2:15">
      <c r="E9" s="15" t="s">
        <v>23</v>
      </c>
      <c r="F9" s="33" t="s">
        <v>58</v>
      </c>
      <c r="G9" s="69" t="s">
        <v>77</v>
      </c>
      <c r="H9" s="33" t="s">
        <v>114</v>
      </c>
    </row>
    <row r="10" spans="2:15">
      <c r="E10" s="15" t="s">
        <v>49</v>
      </c>
      <c r="F10" s="12">
        <v>0.3</v>
      </c>
      <c r="G10" s="70">
        <v>0.5</v>
      </c>
      <c r="H10" s="12">
        <v>1</v>
      </c>
      <c r="I10" s="16"/>
      <c r="J10" s="16"/>
      <c r="K10" s="16"/>
      <c r="L10" s="16"/>
      <c r="M10" s="16"/>
      <c r="N10" s="16"/>
      <c r="O10" s="16"/>
    </row>
    <row r="11" spans="2:15">
      <c r="E11" s="22" t="s">
        <v>50</v>
      </c>
      <c r="F11" s="43">
        <f>1-F10</f>
        <v>0.7</v>
      </c>
      <c r="G11" s="71">
        <f>1-G10</f>
        <v>0.5</v>
      </c>
      <c r="H11" s="43">
        <f>1-H10</f>
        <v>0</v>
      </c>
      <c r="I11" s="16"/>
      <c r="J11" s="16"/>
      <c r="K11" s="16"/>
      <c r="L11" s="16"/>
      <c r="M11" s="16"/>
      <c r="N11" s="16"/>
      <c r="O11" s="16"/>
    </row>
    <row r="12" spans="2:15">
      <c r="E12" s="22" t="s">
        <v>51</v>
      </c>
      <c r="F12" s="43">
        <f>1-F10</f>
        <v>0.7</v>
      </c>
      <c r="G12" s="71">
        <f>1-G10</f>
        <v>0.5</v>
      </c>
      <c r="H12" s="43">
        <f>1-H10</f>
        <v>0</v>
      </c>
    </row>
    <row r="13" spans="2:15">
      <c r="E13" s="15" t="s">
        <v>38</v>
      </c>
      <c r="F13" s="18">
        <f>F10-F11*(0.1/0.9)</f>
        <v>0.22222222222222221</v>
      </c>
      <c r="G13" s="72">
        <f>G10-G11*(0.1/0.9)</f>
        <v>0.44444444444444442</v>
      </c>
      <c r="H13" s="18">
        <f>H10-H11*(0.1/0.9)</f>
        <v>1</v>
      </c>
    </row>
    <row r="14" spans="2:15">
      <c r="E14" s="15" t="s">
        <v>39</v>
      </c>
      <c r="F14" s="18">
        <f>1-F13</f>
        <v>0.77777777777777779</v>
      </c>
      <c r="G14" s="72">
        <f>1-G13</f>
        <v>0.55555555555555558</v>
      </c>
      <c r="H14" s="18">
        <f>1-H13</f>
        <v>0</v>
      </c>
    </row>
    <row r="15" spans="2:15">
      <c r="E15" s="32" t="s">
        <v>64</v>
      </c>
      <c r="F15" s="44">
        <f>(F10/F5+F11/F4)^-1</f>
        <v>3</v>
      </c>
      <c r="G15" s="73">
        <f>(G10/G5+G11/G4)^-1</f>
        <v>3.0413793103448281</v>
      </c>
      <c r="H15" s="44">
        <f>(H10/H5+H11/H4)^-1</f>
        <v>3.1500000000000004</v>
      </c>
      <c r="I15" s="2"/>
      <c r="J15" s="83"/>
      <c r="K15" s="2"/>
      <c r="L15" s="2"/>
      <c r="M15" s="2"/>
      <c r="N15" s="2"/>
      <c r="O15" s="2"/>
    </row>
    <row r="16" spans="2:15">
      <c r="E16" s="32" t="s">
        <v>65</v>
      </c>
      <c r="F16" s="44">
        <f>(F13/F5+F14/F7)^-1</f>
        <v>2.9999999999999996</v>
      </c>
      <c r="G16" s="73">
        <f>(G13/G5+G14/G7)^-1</f>
        <v>3.0413793103448277</v>
      </c>
      <c r="H16" s="44">
        <f>(H13/H5+H14/H7)^-1</f>
        <v>3.1500000000000004</v>
      </c>
    </row>
    <row r="17" spans="2:15">
      <c r="E17" s="32" t="s">
        <v>66</v>
      </c>
      <c r="F17" s="44">
        <f>(F10/F5+F12/F6)^-1</f>
        <v>2.7592778335005019</v>
      </c>
      <c r="G17" s="73">
        <f>(G10/G5+G12/G6)^-1</f>
        <v>2.8606585788561527</v>
      </c>
      <c r="H17" s="44">
        <f>(H10/H5+H12/H6)^-1</f>
        <v>3.1500000000000004</v>
      </c>
    </row>
    <row r="18" spans="2:15">
      <c r="E18" s="15" t="s">
        <v>28</v>
      </c>
      <c r="F18" s="12">
        <v>0.82030000000000003</v>
      </c>
      <c r="G18" s="70">
        <v>0.85029999999999994</v>
      </c>
      <c r="H18" s="12">
        <v>0.8</v>
      </c>
    </row>
    <row r="19" spans="2:15">
      <c r="E19" s="22" t="s">
        <v>30</v>
      </c>
      <c r="F19" s="18">
        <f>1/(F18)-1</f>
        <v>0.21906619529440441</v>
      </c>
      <c r="G19" s="72">
        <f>1/(G18)-1</f>
        <v>0.17605550982006357</v>
      </c>
      <c r="H19" s="18">
        <f>1/(H18)-1</f>
        <v>0.25</v>
      </c>
    </row>
    <row r="20" spans="2:15">
      <c r="E20" s="27" t="s">
        <v>67</v>
      </c>
      <c r="F20" s="4">
        <f>0.001*500</f>
        <v>0.5</v>
      </c>
      <c r="G20" s="68">
        <f>0.001*500</f>
        <v>0.5</v>
      </c>
      <c r="H20" s="4">
        <f>8000*360</f>
        <v>2880000</v>
      </c>
    </row>
    <row r="21" spans="2:15">
      <c r="E21" s="15" t="s">
        <v>31</v>
      </c>
      <c r="F21" s="17">
        <v>0.76</v>
      </c>
      <c r="G21" s="74">
        <v>0.76</v>
      </c>
      <c r="H21" s="17">
        <v>0.78</v>
      </c>
      <c r="I21" s="84"/>
      <c r="J21" s="84"/>
      <c r="K21" s="84"/>
      <c r="L21" s="84"/>
      <c r="M21" s="84"/>
      <c r="N21" s="84"/>
      <c r="O21" s="84"/>
    </row>
    <row r="22" spans="2:15">
      <c r="E22" s="15" t="s">
        <v>32</v>
      </c>
      <c r="F22" s="17">
        <v>1</v>
      </c>
      <c r="G22" s="74">
        <v>1</v>
      </c>
      <c r="H22" s="17">
        <v>1</v>
      </c>
      <c r="I22" s="84"/>
      <c r="J22" s="84"/>
      <c r="K22" s="84"/>
      <c r="L22" s="84"/>
      <c r="M22" s="84"/>
      <c r="N22" s="84"/>
      <c r="O22" s="84"/>
    </row>
    <row r="23" spans="2:15">
      <c r="E23" s="15" t="s">
        <v>34</v>
      </c>
      <c r="F23" s="89">
        <v>0.05</v>
      </c>
      <c r="G23" s="90">
        <v>7.0000000000000007E-2</v>
      </c>
      <c r="H23" s="89">
        <v>0.06</v>
      </c>
      <c r="I23" s="16"/>
      <c r="J23" s="16"/>
      <c r="K23" s="16"/>
      <c r="L23" s="16"/>
      <c r="M23" s="16"/>
      <c r="N23" s="16"/>
      <c r="O23" s="16"/>
    </row>
    <row r="24" spans="2:15">
      <c r="B24" s="1"/>
      <c r="C24" s="1"/>
      <c r="D24" s="1"/>
      <c r="E24" s="22" t="s">
        <v>52</v>
      </c>
      <c r="F24" s="45">
        <f>(1+F23)*(1/F8+F23/F15)^-1</f>
        <v>2.9809463321689424</v>
      </c>
      <c r="G24" s="75">
        <f>(1+G23)*(1/G8+G23/G15)^-1</f>
        <v>2.9839396325069445</v>
      </c>
      <c r="H24" s="45">
        <f>(1+H23)*(1/H8+H23/H15)^-1</f>
        <v>3.16886114603916</v>
      </c>
      <c r="I24" s="10"/>
      <c r="J24" s="10"/>
      <c r="K24" s="10"/>
      <c r="L24" s="10"/>
      <c r="M24" s="10"/>
      <c r="N24" s="10"/>
      <c r="O24" s="10"/>
    </row>
    <row r="25" spans="2:15">
      <c r="B25" s="2"/>
      <c r="C25" s="2"/>
      <c r="D25" s="2"/>
      <c r="E25" s="22" t="s">
        <v>53</v>
      </c>
      <c r="F25" s="45">
        <f>(1+F23)*(1/F8+F23/F16)^-1</f>
        <v>2.9809463321689424</v>
      </c>
      <c r="G25" s="75">
        <f>(1+G23)*(1/G8+G23/G16)^-1</f>
        <v>2.9839396325069445</v>
      </c>
      <c r="H25" s="45">
        <f>(1+H23)*(1/H8+H23/H16)^-1</f>
        <v>3.16886114603916</v>
      </c>
    </row>
    <row r="26" spans="2:15">
      <c r="E26" s="22" t="s">
        <v>54</v>
      </c>
      <c r="F26" s="45">
        <f>(1+F23)*(1/F8+F23/F17)^-1</f>
        <v>2.9686917259315488</v>
      </c>
      <c r="G26" s="75">
        <f>(1+G23)*(1/G8+G23/G17)^-1</f>
        <v>2.9718890442720913</v>
      </c>
      <c r="H26" s="45">
        <f>(1+H23)*(1/H8+H23/H17)^-1</f>
        <v>3.16886114603916</v>
      </c>
    </row>
    <row r="27" spans="2:15">
      <c r="E27" s="27" t="s">
        <v>55</v>
      </c>
      <c r="F27" s="46">
        <f>F24/(F21+(F24/F22)*(1-F21))</f>
        <v>2.0203955128149942</v>
      </c>
      <c r="G27" s="76">
        <f>G24/(G21+(G24/G22)*(1-G21))</f>
        <v>2.0214400332830218</v>
      </c>
      <c r="H27" s="46">
        <f>H24/(H21+(H24/H22)*(1-H21))</f>
        <v>2.1452542540450046</v>
      </c>
      <c r="I27" s="2"/>
      <c r="J27" s="2"/>
      <c r="K27" s="2"/>
      <c r="L27" s="2"/>
      <c r="M27" s="2"/>
      <c r="N27" s="2"/>
      <c r="O27" s="2"/>
    </row>
    <row r="28" spans="2:15">
      <c r="E28" s="27" t="s">
        <v>56</v>
      </c>
      <c r="F28" s="46">
        <f>F25/(F21+(F25/F22)*(1-F21))</f>
        <v>2.0203955128149942</v>
      </c>
      <c r="G28" s="76">
        <f>G25/(G21+(G25/G22)*(1-G21))</f>
        <v>2.0214400332830218</v>
      </c>
      <c r="H28" s="46">
        <f>H25/(H21+(H25/H22)*(1-H21))</f>
        <v>2.1452542540450046</v>
      </c>
    </row>
    <row r="29" spans="2:15">
      <c r="E29" s="27" t="s">
        <v>57</v>
      </c>
      <c r="F29" s="46">
        <f>F26/(F21+(F26/F22)*(1-F21))</f>
        <v>2.0161086062993356</v>
      </c>
      <c r="G29" s="76">
        <f>G26/(G21+(G26/G22)*(1-G21))</f>
        <v>2.0172287425418984</v>
      </c>
      <c r="H29" s="46">
        <f>H26/(H21+(H26/H22)*(1-H21))</f>
        <v>2.1452542540450046</v>
      </c>
    </row>
    <row r="30" spans="2:15">
      <c r="E30" s="26" t="s">
        <v>35</v>
      </c>
      <c r="F30" s="4">
        <v>1</v>
      </c>
      <c r="G30" s="68">
        <v>1</v>
      </c>
      <c r="H30" s="4">
        <v>1</v>
      </c>
    </row>
    <row r="31" spans="2:15">
      <c r="E31" s="27" t="s">
        <v>68</v>
      </c>
      <c r="F31" s="47">
        <f>F20*(1+F23)*(F18/F21)</f>
        <v>0.56665460526315792</v>
      </c>
      <c r="G31" s="77">
        <f>G20*(1+G23)*(G18/G21)</f>
        <v>0.59856644736842102</v>
      </c>
      <c r="H31" s="47">
        <f>H20*(1+H23)*(H18/H21)</f>
        <v>3131076.9230769235</v>
      </c>
      <c r="I31" s="85"/>
      <c r="J31" s="85"/>
      <c r="K31" s="85"/>
      <c r="L31" s="85"/>
      <c r="M31" s="85"/>
      <c r="N31" s="85"/>
      <c r="O31" s="85"/>
    </row>
    <row r="32" spans="2:15">
      <c r="E32" s="22" t="s">
        <v>69</v>
      </c>
      <c r="F32" s="18">
        <f>F31*(1-F21)</f>
        <v>0.13599710526315789</v>
      </c>
      <c r="G32" s="72">
        <f>G31*(1-G21)</f>
        <v>0.14365594736842105</v>
      </c>
      <c r="H32" s="18">
        <f>H31*(1-H21)</f>
        <v>688836.92307692312</v>
      </c>
      <c r="I32" s="3"/>
      <c r="J32" s="3"/>
      <c r="K32" s="3"/>
      <c r="L32" s="3"/>
      <c r="M32" s="3"/>
      <c r="N32" s="3"/>
      <c r="O32" s="3"/>
    </row>
    <row r="33" spans="5:15">
      <c r="E33" s="22" t="s">
        <v>70</v>
      </c>
      <c r="F33" s="18">
        <f>F21*(F31/(1+F23))</f>
        <v>0.41015000000000001</v>
      </c>
      <c r="G33" s="72">
        <f>G21*(G31/(1+G23))</f>
        <v>0.42514999999999997</v>
      </c>
      <c r="H33" s="18">
        <f>H21*(H31/(1+H23))</f>
        <v>2304000</v>
      </c>
      <c r="I33" s="2"/>
      <c r="J33" s="2"/>
      <c r="K33" s="2"/>
      <c r="L33" s="2"/>
      <c r="M33" s="2"/>
      <c r="N33" s="2"/>
      <c r="O33" s="2"/>
    </row>
    <row r="34" spans="5:15">
      <c r="E34" s="22" t="s">
        <v>71</v>
      </c>
      <c r="F34" s="18">
        <f>F23*F33</f>
        <v>2.0507500000000001E-2</v>
      </c>
      <c r="G34" s="72">
        <f>G23*G33</f>
        <v>2.9760500000000002E-2</v>
      </c>
      <c r="H34" s="18">
        <f>H23*H33</f>
        <v>138240</v>
      </c>
      <c r="I34" s="86"/>
      <c r="J34" s="86"/>
      <c r="K34" s="86"/>
      <c r="L34" s="86"/>
      <c r="M34" s="86"/>
      <c r="N34" s="86"/>
      <c r="O34" s="86"/>
    </row>
    <row r="35" spans="5:15">
      <c r="E35" s="34" t="str">
        <f>E9</f>
        <v>Type de Liant</v>
      </c>
      <c r="F35" s="48" t="str">
        <f>F9</f>
        <v>GU-Slag</v>
      </c>
      <c r="G35" s="48" t="str">
        <f>G9</f>
        <v>GU-FAC</v>
      </c>
      <c r="H35" s="48" t="str">
        <f>H9</f>
        <v>GU seul</v>
      </c>
    </row>
    <row r="36" spans="5:15">
      <c r="E36" s="1" t="s">
        <v>72</v>
      </c>
      <c r="F36" s="18">
        <f>F10*F34</f>
        <v>6.1522500000000006E-3</v>
      </c>
      <c r="G36" s="72">
        <f>G10*G34</f>
        <v>1.4880250000000001E-2</v>
      </c>
      <c r="H36" s="18">
        <f>H10*H34</f>
        <v>138240</v>
      </c>
      <c r="I36" s="3"/>
      <c r="J36" s="3"/>
      <c r="L36" s="3"/>
      <c r="M36" s="3"/>
      <c r="N36" s="3"/>
      <c r="O36" s="3"/>
    </row>
    <row r="37" spans="5:15">
      <c r="E37" s="1" t="s">
        <v>74</v>
      </c>
      <c r="F37" s="18">
        <f>F11*F34</f>
        <v>1.435525E-2</v>
      </c>
      <c r="G37" s="72">
        <f>G11*G34</f>
        <v>1.4880250000000001E-2</v>
      </c>
      <c r="H37" s="18">
        <f>H11*H34</f>
        <v>0</v>
      </c>
      <c r="I37" s="86"/>
      <c r="J37" s="86"/>
      <c r="K37" s="86"/>
      <c r="L37" s="86"/>
      <c r="M37" s="86"/>
      <c r="N37" s="86"/>
      <c r="O37" s="86"/>
    </row>
    <row r="38" spans="5:15">
      <c r="E38" s="36" t="s">
        <v>23</v>
      </c>
      <c r="F38" s="49" t="s">
        <v>76</v>
      </c>
      <c r="G38" s="78" t="s">
        <v>76</v>
      </c>
      <c r="H38" s="49" t="s">
        <v>76</v>
      </c>
    </row>
    <row r="39" spans="5:15">
      <c r="E39" s="1" t="s">
        <v>72</v>
      </c>
      <c r="F39" s="50">
        <f>F13*F34</f>
        <v>4.5572222222222221E-3</v>
      </c>
      <c r="G39" s="79">
        <f>G13*G34</f>
        <v>1.3226888888888889E-2</v>
      </c>
      <c r="H39" s="50">
        <f>H13*H34</f>
        <v>138240</v>
      </c>
    </row>
    <row r="40" spans="5:15">
      <c r="E40" s="1" t="s">
        <v>73</v>
      </c>
      <c r="F40" s="50">
        <f>F14*F34</f>
        <v>1.5950277777777778E-2</v>
      </c>
      <c r="G40" s="79">
        <f>G14*G34</f>
        <v>1.6533611111111114E-2</v>
      </c>
      <c r="H40" s="50">
        <f>H14*H34</f>
        <v>0</v>
      </c>
      <c r="I40" s="86"/>
      <c r="J40" s="86"/>
      <c r="K40" s="86"/>
      <c r="L40" s="86"/>
      <c r="M40" s="86"/>
      <c r="N40" s="86"/>
      <c r="O40" s="86"/>
    </row>
    <row r="41" spans="5:15">
      <c r="E41" s="36" t="s">
        <v>23</v>
      </c>
      <c r="F41" s="49" t="s">
        <v>77</v>
      </c>
      <c r="G41" s="78" t="s">
        <v>77</v>
      </c>
      <c r="H41" s="49" t="s">
        <v>77</v>
      </c>
    </row>
    <row r="42" spans="5:15">
      <c r="E42" s="1" t="s">
        <v>72</v>
      </c>
      <c r="F42" s="50">
        <f>F10*F34</f>
        <v>6.1522500000000006E-3</v>
      </c>
      <c r="G42" s="79">
        <f>G10*G34</f>
        <v>1.4880250000000001E-2</v>
      </c>
      <c r="H42" s="50">
        <f>H10*H34</f>
        <v>138240</v>
      </c>
    </row>
    <row r="43" spans="5:15">
      <c r="E43" s="1" t="s">
        <v>75</v>
      </c>
      <c r="F43" s="50">
        <f>F12*F34</f>
        <v>1.435525E-2</v>
      </c>
      <c r="G43" s="79">
        <f>G12*G34</f>
        <v>1.4880250000000001E-2</v>
      </c>
      <c r="H43" s="50">
        <f>H12*H34</f>
        <v>0</v>
      </c>
      <c r="I43" s="86"/>
      <c r="J43" s="86"/>
      <c r="K43" s="86"/>
      <c r="L43" s="86"/>
      <c r="M43" s="86"/>
      <c r="N43" s="86"/>
      <c r="O43" s="86"/>
    </row>
    <row r="44" spans="5:15">
      <c r="E44" s="41" t="s">
        <v>48</v>
      </c>
      <c r="F44" s="51">
        <f>F31*(1-F21)-F33*(1/F18-1)</f>
        <v>4.614710526315792E-2</v>
      </c>
      <c r="G44" s="80">
        <f>G31*(1-G21)-G33*(1/G18-1)</f>
        <v>6.8805947368421022E-2</v>
      </c>
      <c r="H44" s="51">
        <f>H31*(1-H21)-H33*(1/H18-1)</f>
        <v>112836.92307692312</v>
      </c>
    </row>
    <row r="46" spans="5:15" ht="28.8">
      <c r="E46" s="8" t="s">
        <v>0</v>
      </c>
      <c r="F46" s="107" t="s">
        <v>115</v>
      </c>
      <c r="G46" s="107" t="s">
        <v>116</v>
      </c>
      <c r="H46" s="107" t="s">
        <v>117</v>
      </c>
      <c r="I46" s="87"/>
      <c r="J46" s="87"/>
      <c r="K46" s="87"/>
      <c r="L46" s="87"/>
      <c r="M46" s="87"/>
      <c r="N46" s="87"/>
      <c r="O46" s="87"/>
    </row>
    <row r="47" spans="5:15">
      <c r="E47" s="5" t="s">
        <v>4</v>
      </c>
      <c r="F47" s="38">
        <f>(F33+F34)/F31</f>
        <v>0.76</v>
      </c>
      <c r="G47" s="81">
        <f>(G33+G34)/G31</f>
        <v>0.76</v>
      </c>
      <c r="H47" s="38">
        <f>(H33+H34)/H31</f>
        <v>0.77999999999999992</v>
      </c>
      <c r="I47" s="88"/>
      <c r="J47" s="88"/>
      <c r="K47" s="88"/>
      <c r="L47" s="88"/>
      <c r="M47" s="88"/>
      <c r="N47" s="88"/>
      <c r="O47" s="88"/>
    </row>
    <row r="48" spans="5:15">
      <c r="E48" s="23" t="s">
        <v>118</v>
      </c>
      <c r="F48" s="42">
        <f>1000*F20</f>
        <v>500</v>
      </c>
      <c r="G48" s="82">
        <f>1000*G20</f>
        <v>500</v>
      </c>
      <c r="H48" s="42">
        <f>1*H20</f>
        <v>2880000</v>
      </c>
      <c r="I48" s="86"/>
      <c r="J48" s="86"/>
      <c r="K48" s="86"/>
      <c r="L48" s="86"/>
      <c r="M48" s="86"/>
      <c r="N48" s="86"/>
      <c r="O48" s="86"/>
    </row>
    <row r="49" spans="4:15">
      <c r="E49" s="23" t="s">
        <v>119</v>
      </c>
      <c r="F49" s="18">
        <f>1000*F33</f>
        <v>410.15000000000003</v>
      </c>
      <c r="G49" s="72">
        <f>1000*G33</f>
        <v>425.15</v>
      </c>
      <c r="H49" s="18">
        <f>1*H33</f>
        <v>2304000</v>
      </c>
    </row>
    <row r="50" spans="4:15">
      <c r="E50" s="23" t="s">
        <v>120</v>
      </c>
      <c r="F50" s="42">
        <f>1000*F34</f>
        <v>20.5075</v>
      </c>
      <c r="G50" s="82">
        <f>1000*G34</f>
        <v>29.760500000000004</v>
      </c>
      <c r="H50" s="42">
        <f>1*H34</f>
        <v>138240</v>
      </c>
    </row>
    <row r="51" spans="4:15">
      <c r="E51" s="24" t="s">
        <v>121</v>
      </c>
      <c r="F51" s="42">
        <f>1000*F36</f>
        <v>6.1522500000000004</v>
      </c>
      <c r="G51" s="82">
        <f>1000*G36</f>
        <v>14.880250000000002</v>
      </c>
      <c r="H51" s="42">
        <f>1*H36</f>
        <v>138240</v>
      </c>
      <c r="I51" s="86"/>
      <c r="J51" s="86"/>
      <c r="K51" s="86"/>
      <c r="L51" s="86"/>
      <c r="M51" s="86"/>
      <c r="N51" s="86"/>
      <c r="O51" s="86"/>
    </row>
    <row r="52" spans="4:15">
      <c r="E52" s="24" t="s">
        <v>122</v>
      </c>
      <c r="F52" s="42">
        <f>1000*F39</f>
        <v>4.5572222222222223</v>
      </c>
      <c r="G52" s="82">
        <f>1000*G39</f>
        <v>13.226888888888888</v>
      </c>
      <c r="H52" s="42">
        <f>1*H39</f>
        <v>138240</v>
      </c>
    </row>
    <row r="53" spans="4:15">
      <c r="E53" s="24" t="s">
        <v>123</v>
      </c>
      <c r="F53" s="42">
        <f>1000*F37</f>
        <v>14.35525</v>
      </c>
      <c r="G53" s="82">
        <f>1000*G37</f>
        <v>14.880250000000002</v>
      </c>
      <c r="H53" s="42">
        <f>1*H37</f>
        <v>0</v>
      </c>
      <c r="I53" s="86"/>
      <c r="J53" s="86"/>
      <c r="K53" s="86"/>
      <c r="L53" s="86"/>
      <c r="M53" s="86"/>
      <c r="N53" s="86"/>
      <c r="O53" s="86"/>
    </row>
    <row r="54" spans="4:15">
      <c r="E54" s="24" t="s">
        <v>124</v>
      </c>
      <c r="F54" s="42">
        <f>1000*F40</f>
        <v>15.950277777777778</v>
      </c>
      <c r="G54" s="82">
        <f>1000*G40</f>
        <v>16.533611111111114</v>
      </c>
      <c r="H54" s="42">
        <f>1*H40</f>
        <v>0</v>
      </c>
    </row>
    <row r="55" spans="4:15">
      <c r="E55" s="24" t="s">
        <v>125</v>
      </c>
      <c r="F55" s="42">
        <f>1000*F43</f>
        <v>14.35525</v>
      </c>
      <c r="G55" s="82">
        <f>1000*G43</f>
        <v>14.880250000000002</v>
      </c>
      <c r="H55" s="42">
        <f>1*H43</f>
        <v>0</v>
      </c>
    </row>
    <row r="56" spans="4:15">
      <c r="E56" s="40" t="s">
        <v>126</v>
      </c>
      <c r="F56" s="42">
        <f>1000*F44</f>
        <v>46.147105263157918</v>
      </c>
      <c r="G56" s="82">
        <f>1000*G44</f>
        <v>68.805947368421016</v>
      </c>
      <c r="H56" s="42">
        <f>1*H44</f>
        <v>112836.92307692312</v>
      </c>
      <c r="I56" s="86"/>
      <c r="J56" s="86"/>
      <c r="K56" s="86"/>
      <c r="L56" s="86"/>
      <c r="M56" s="86"/>
      <c r="N56" s="86"/>
      <c r="O56" s="86"/>
    </row>
    <row r="57" spans="4:15">
      <c r="E57" s="25"/>
      <c r="F57" s="39"/>
      <c r="G57" s="39"/>
      <c r="H57" s="39"/>
      <c r="I57" s="21"/>
      <c r="J57" s="21"/>
      <c r="K57" s="21"/>
      <c r="L57" s="21"/>
      <c r="M57" s="21"/>
      <c r="N57" s="21"/>
      <c r="O57" s="21"/>
    </row>
    <row r="58" spans="4:15" ht="28.8">
      <c r="E58" s="52" t="s">
        <v>78</v>
      </c>
      <c r="F58" s="106" t="s">
        <v>115</v>
      </c>
      <c r="G58" s="106" t="s">
        <v>116</v>
      </c>
      <c r="H58" s="106" t="s">
        <v>117</v>
      </c>
    </row>
    <row r="59" spans="4:15">
      <c r="E59" s="22" t="s">
        <v>83</v>
      </c>
      <c r="F59" s="43">
        <f>F47</f>
        <v>0.76</v>
      </c>
      <c r="G59" s="43">
        <f>G47</f>
        <v>0.76</v>
      </c>
      <c r="H59" s="43">
        <f>H47</f>
        <v>0.77999999999999992</v>
      </c>
    </row>
    <row r="60" spans="4:15">
      <c r="D60" s="1"/>
      <c r="E60" s="22" t="s">
        <v>84</v>
      </c>
      <c r="F60" s="64">
        <f>1/F47-1</f>
        <v>0.31578947368421062</v>
      </c>
      <c r="G60" s="64">
        <f>1/G47-1</f>
        <v>0.31578947368421062</v>
      </c>
      <c r="H60" s="64">
        <f>1/H47-1</f>
        <v>0.28205128205128216</v>
      </c>
    </row>
    <row r="61" spans="4:15">
      <c r="D61" s="1"/>
      <c r="E61" s="1" t="str">
        <f>E49</f>
        <v>Masse résidus secs Mt</v>
      </c>
      <c r="F61" s="51">
        <f>F49</f>
        <v>410.15000000000003</v>
      </c>
      <c r="G61" s="51">
        <f>G49</f>
        <v>425.15</v>
      </c>
      <c r="H61" s="51">
        <f>H49</f>
        <v>2304000</v>
      </c>
    </row>
    <row r="62" spans="4:15">
      <c r="D62" s="1"/>
      <c r="E62" s="1" t="str">
        <f>E51</f>
        <v>Masse ciment GU-Slag/FAC</v>
      </c>
      <c r="F62" s="91">
        <f>F51</f>
        <v>6.1522500000000004</v>
      </c>
      <c r="G62" s="91">
        <f>G51</f>
        <v>14.880250000000002</v>
      </c>
      <c r="H62" s="91">
        <f>H51</f>
        <v>138240</v>
      </c>
    </row>
    <row r="63" spans="4:15">
      <c r="D63" s="1"/>
      <c r="E63" s="1" t="str">
        <f>E53</f>
        <v>Masse Slag_GU-Slag</v>
      </c>
      <c r="F63" s="91">
        <f>F53</f>
        <v>14.35525</v>
      </c>
      <c r="G63" s="63">
        <f>G53</f>
        <v>14.880250000000002</v>
      </c>
      <c r="H63" s="63">
        <f>H53</f>
        <v>0</v>
      </c>
    </row>
    <row r="64" spans="4:15">
      <c r="D64" s="1"/>
      <c r="E64" s="1" t="str">
        <f>E55</f>
        <v>Masse FAC</v>
      </c>
      <c r="F64" s="63">
        <f>F55</f>
        <v>14.35525</v>
      </c>
      <c r="G64" s="91">
        <f>G55</f>
        <v>14.880250000000002</v>
      </c>
      <c r="H64" s="91">
        <f>H55</f>
        <v>0</v>
      </c>
    </row>
    <row r="65" spans="4:8" ht="14.4" customHeight="1">
      <c r="D65" s="1"/>
      <c r="E65" s="105" t="s">
        <v>127</v>
      </c>
      <c r="F65" s="11">
        <f>1000*F32</f>
        <v>135.99710526315789</v>
      </c>
      <c r="G65" s="11">
        <f>1000*G32</f>
        <v>143.65594736842104</v>
      </c>
      <c r="H65" s="11">
        <f>1*H32</f>
        <v>688836.92307692312</v>
      </c>
    </row>
    <row r="66" spans="4:8" ht="14.4" customHeight="1">
      <c r="D66" s="1"/>
      <c r="E66" s="1" t="str">
        <f>E56</f>
        <v>Masse eau à ajouter Mw-aj</v>
      </c>
      <c r="F66" s="11">
        <f>F56</f>
        <v>46.147105263157918</v>
      </c>
      <c r="G66" s="11">
        <f>G56</f>
        <v>68.805947368421016</v>
      </c>
      <c r="H66" s="11">
        <f>H56</f>
        <v>112836.92307692312</v>
      </c>
    </row>
    <row r="67" spans="4:8">
      <c r="D67" s="1"/>
      <c r="E67" s="22" t="s">
        <v>85</v>
      </c>
      <c r="F67" s="11">
        <f>F32/F34</f>
        <v>6.6315789473684204</v>
      </c>
      <c r="G67" s="11">
        <f>G32/G34</f>
        <v>4.8270676691729317</v>
      </c>
      <c r="H67" s="11">
        <f>H32/H34</f>
        <v>4.982905982905983</v>
      </c>
    </row>
    <row r="68" spans="4:8">
      <c r="D68" s="1"/>
      <c r="E68" s="62" t="s">
        <v>86</v>
      </c>
      <c r="F68" s="64">
        <f>F23*(F8/F15)</f>
        <v>4.9666666666666665E-2</v>
      </c>
      <c r="G68" s="96">
        <f>G23*(G8/G15)</f>
        <v>6.8587301587301572E-2</v>
      </c>
      <c r="H68" s="96">
        <f>H23*(H8/H15)</f>
        <v>6.0380952380952362E-2</v>
      </c>
    </row>
    <row r="69" spans="4:8">
      <c r="D69" s="1"/>
      <c r="E69" s="62" t="s">
        <v>87</v>
      </c>
      <c r="F69" s="96">
        <f>F23*(F8/F17)</f>
        <v>5.3999636495819694E-2</v>
      </c>
      <c r="G69" s="64">
        <f>G23*(G8/G17)</f>
        <v>7.2920271416454616E-2</v>
      </c>
      <c r="H69" s="64">
        <f>H23*(H8/H17)</f>
        <v>6.0380952380952362E-2</v>
      </c>
    </row>
    <row r="70" spans="4:8">
      <c r="D70" s="1"/>
      <c r="E70" s="55" t="s">
        <v>92</v>
      </c>
      <c r="F70" s="65">
        <f>F24</f>
        <v>2.9809463321689424</v>
      </c>
      <c r="G70" s="65">
        <f>G24</f>
        <v>2.9839396325069445</v>
      </c>
      <c r="H70" s="65">
        <f>H24</f>
        <v>3.16886114603916</v>
      </c>
    </row>
    <row r="71" spans="4:8">
      <c r="D71" s="1"/>
      <c r="E71" s="55" t="s">
        <v>93</v>
      </c>
      <c r="F71" s="65">
        <f t="shared" ref="F71:H72" si="0">F26</f>
        <v>2.9686917259315488</v>
      </c>
      <c r="G71" s="65">
        <f t="shared" si="0"/>
        <v>2.9718890442720913</v>
      </c>
      <c r="H71" s="65">
        <f t="shared" si="0"/>
        <v>3.16886114603916</v>
      </c>
    </row>
    <row r="72" spans="4:8">
      <c r="D72" s="1"/>
      <c r="E72" s="53" t="s">
        <v>79</v>
      </c>
      <c r="F72" s="97">
        <f t="shared" si="0"/>
        <v>2.0203955128149942</v>
      </c>
      <c r="G72" s="65">
        <f t="shared" si="0"/>
        <v>2.0214400332830218</v>
      </c>
      <c r="H72" s="65">
        <f t="shared" si="0"/>
        <v>2.1452542540450046</v>
      </c>
    </row>
    <row r="73" spans="4:8">
      <c r="D73" s="1"/>
      <c r="E73" s="53" t="s">
        <v>80</v>
      </c>
      <c r="F73" s="65">
        <f>F29</f>
        <v>2.0161086062993356</v>
      </c>
      <c r="G73" s="97">
        <f>G29</f>
        <v>2.0172287425418984</v>
      </c>
      <c r="H73" s="97">
        <f>H29</f>
        <v>2.1452542540450046</v>
      </c>
    </row>
    <row r="74" spans="4:8">
      <c r="D74" s="1"/>
      <c r="E74" s="53" t="s">
        <v>81</v>
      </c>
      <c r="F74" s="97">
        <f>F59*F72</f>
        <v>1.5355005897393956</v>
      </c>
      <c r="G74" s="65">
        <f>G59*G72</f>
        <v>1.5362944252950965</v>
      </c>
      <c r="H74" s="65">
        <f>H59*H72</f>
        <v>1.6732983181551033</v>
      </c>
    </row>
    <row r="75" spans="4:8">
      <c r="D75" s="1"/>
      <c r="E75" s="53" t="s">
        <v>82</v>
      </c>
      <c r="F75" s="65">
        <f>F59*F73</f>
        <v>1.5322425407874951</v>
      </c>
      <c r="G75" s="97">
        <f>G59*G73</f>
        <v>1.5330938443318429</v>
      </c>
      <c r="H75" s="97">
        <f>H59*H73</f>
        <v>1.6732983181551033</v>
      </c>
    </row>
    <row r="76" spans="4:8">
      <c r="E76" s="32" t="s">
        <v>88</v>
      </c>
      <c r="F76" s="92">
        <f t="shared" ref="F76:H77" si="1">F74/F70</f>
        <v>0.51510507692440155</v>
      </c>
      <c r="G76" s="94">
        <f t="shared" si="1"/>
        <v>0.51485439201207472</v>
      </c>
      <c r="H76" s="94">
        <f t="shared" si="1"/>
        <v>0.52804406411009874</v>
      </c>
    </row>
    <row r="77" spans="4:8">
      <c r="E77" s="32" t="s">
        <v>89</v>
      </c>
      <c r="F77" s="94">
        <f t="shared" si="1"/>
        <v>0.51613393448815947</v>
      </c>
      <c r="G77" s="92">
        <f t="shared" si="1"/>
        <v>0.51586510178994438</v>
      </c>
      <c r="H77" s="92">
        <f t="shared" si="1"/>
        <v>0.52804406411009874</v>
      </c>
    </row>
    <row r="78" spans="4:8">
      <c r="D78" s="1"/>
      <c r="E78" s="35" t="s">
        <v>90</v>
      </c>
      <c r="F78" s="50">
        <f>F31/F72</f>
        <v>0.28046716678441069</v>
      </c>
      <c r="G78" s="50">
        <f>G31/G72</f>
        <v>0.29610893101601876</v>
      </c>
      <c r="H78" s="50">
        <f>H31/H72</f>
        <v>1459536.5174888205</v>
      </c>
    </row>
    <row r="79" spans="4:8">
      <c r="D79" s="1"/>
      <c r="E79" s="56" t="s">
        <v>91</v>
      </c>
      <c r="F79" s="50">
        <f>F31/F73</f>
        <v>0.28106353174260773</v>
      </c>
      <c r="G79" s="50">
        <f>G31/G73</f>
        <v>0.29672710622503368</v>
      </c>
      <c r="H79" s="50">
        <f>H31/H73</f>
        <v>1459536.5174888205</v>
      </c>
    </row>
    <row r="80" spans="4:8">
      <c r="D80" s="1"/>
      <c r="E80" s="54" t="s">
        <v>94</v>
      </c>
      <c r="F80" s="51">
        <f t="shared" ref="F80:H81" si="2">F78*(1-F76)</f>
        <v>0.13599710526315786</v>
      </c>
      <c r="G80" s="18">
        <f t="shared" si="2"/>
        <v>0.14365594736842105</v>
      </c>
      <c r="H80" s="18">
        <f t="shared" si="2"/>
        <v>688836.92307692347</v>
      </c>
    </row>
    <row r="81" spans="4:8">
      <c r="D81" s="1"/>
      <c r="E81" s="54" t="s">
        <v>95</v>
      </c>
      <c r="F81" s="18">
        <f t="shared" si="2"/>
        <v>0.13599710526315789</v>
      </c>
      <c r="G81" s="51">
        <f t="shared" si="2"/>
        <v>0.14365594736842105</v>
      </c>
      <c r="H81" s="51">
        <f t="shared" si="2"/>
        <v>688836.92307692347</v>
      </c>
    </row>
    <row r="82" spans="4:8">
      <c r="E82" s="98" t="s">
        <v>106</v>
      </c>
      <c r="F82" s="99">
        <f>F60*(F74/1)</f>
        <v>0.48489492307559878</v>
      </c>
      <c r="G82" s="99">
        <f>G60*(G74/1)</f>
        <v>0.48514560798792539</v>
      </c>
      <c r="H82" s="99">
        <f>H60*(H74/1)</f>
        <v>0.47195593588990115</v>
      </c>
    </row>
    <row r="83" spans="4:8">
      <c r="E83" s="100" t="s">
        <v>107</v>
      </c>
      <c r="F83" s="99">
        <f>F60*(F75/1)</f>
        <v>0.48386606551184069</v>
      </c>
      <c r="G83" s="99">
        <f>G60*(G75/1)</f>
        <v>0.48413489821005579</v>
      </c>
      <c r="H83" s="99">
        <f>H60*(H75/1)</f>
        <v>0.47195593588990115</v>
      </c>
    </row>
    <row r="84" spans="4:8">
      <c r="D84" s="29"/>
      <c r="E84" s="57" t="s">
        <v>97</v>
      </c>
      <c r="F84" s="93">
        <f t="shared" ref="F84:H85" si="3">1/F76-1</f>
        <v>0.94135147331650781</v>
      </c>
      <c r="G84" s="95">
        <f t="shared" si="3"/>
        <v>0.94229672605482473</v>
      </c>
      <c r="H84" s="95">
        <f t="shared" si="3"/>
        <v>0.89378134888284078</v>
      </c>
    </row>
    <row r="85" spans="4:8">
      <c r="D85" s="29"/>
      <c r="E85" s="57" t="s">
        <v>98</v>
      </c>
      <c r="F85" s="95">
        <f t="shared" si="3"/>
        <v>0.93748159766259431</v>
      </c>
      <c r="G85" s="93">
        <f t="shared" si="3"/>
        <v>0.93849127713855518</v>
      </c>
      <c r="H85" s="93">
        <f t="shared" si="3"/>
        <v>0.89378134888284078</v>
      </c>
    </row>
    <row r="86" spans="4:8">
      <c r="D86" s="58"/>
      <c r="E86" s="29" t="s">
        <v>96</v>
      </c>
      <c r="F86" s="93">
        <f t="shared" ref="F86:H87" si="4">F84/(1+F84)</f>
        <v>0.48489492307559845</v>
      </c>
      <c r="G86" s="95">
        <f t="shared" si="4"/>
        <v>0.48514560798792528</v>
      </c>
      <c r="H86" s="95">
        <f t="shared" si="4"/>
        <v>0.47195593588990126</v>
      </c>
    </row>
    <row r="87" spans="4:8">
      <c r="D87" s="58"/>
      <c r="E87" s="29" t="s">
        <v>99</v>
      </c>
      <c r="F87" s="95">
        <f t="shared" si="4"/>
        <v>0.48386606551184053</v>
      </c>
      <c r="G87" s="93">
        <f t="shared" si="4"/>
        <v>0.48413489821005562</v>
      </c>
      <c r="H87" s="93">
        <f t="shared" si="4"/>
        <v>0.47195593588990126</v>
      </c>
    </row>
    <row r="88" spans="4:8">
      <c r="D88" s="1"/>
      <c r="E88" s="59" t="s">
        <v>100</v>
      </c>
      <c r="F88" s="11">
        <f t="shared" ref="F88:H91" si="5">9.81*F72</f>
        <v>19.820079980715093</v>
      </c>
      <c r="G88" s="42">
        <f t="shared" si="5"/>
        <v>19.830326726506446</v>
      </c>
      <c r="H88" s="42">
        <f t="shared" si="5"/>
        <v>21.044944232181496</v>
      </c>
    </row>
    <row r="89" spans="4:8">
      <c r="D89" s="1"/>
      <c r="E89" s="59" t="s">
        <v>101</v>
      </c>
      <c r="F89" s="42">
        <f t="shared" si="5"/>
        <v>19.778025427796482</v>
      </c>
      <c r="G89" s="11">
        <f t="shared" si="5"/>
        <v>19.789013964336025</v>
      </c>
      <c r="H89" s="11">
        <f t="shared" si="5"/>
        <v>21.044944232181496</v>
      </c>
    </row>
    <row r="90" spans="4:8">
      <c r="D90" s="60"/>
      <c r="E90" s="61" t="s">
        <v>102</v>
      </c>
      <c r="F90" s="11">
        <f t="shared" si="5"/>
        <v>15.063260785343472</v>
      </c>
      <c r="G90" s="42">
        <f t="shared" si="5"/>
        <v>15.071048312144898</v>
      </c>
      <c r="H90" s="42">
        <f t="shared" si="5"/>
        <v>16.415056501101564</v>
      </c>
    </row>
    <row r="91" spans="4:8">
      <c r="D91" s="60"/>
      <c r="E91" s="61" t="s">
        <v>103</v>
      </c>
      <c r="F91" s="42">
        <f t="shared" si="5"/>
        <v>15.031299325125328</v>
      </c>
      <c r="G91" s="11">
        <f t="shared" si="5"/>
        <v>15.039650612895381</v>
      </c>
      <c r="H91" s="11">
        <f t="shared" si="5"/>
        <v>16.415056501101564</v>
      </c>
    </row>
    <row r="92" spans="4:8">
      <c r="E92" s="62" t="s">
        <v>104</v>
      </c>
      <c r="F92" s="64">
        <f>F23*(3.98/F15)</f>
        <v>6.6333333333333341E-2</v>
      </c>
      <c r="G92" s="37">
        <f>G23*(3.98/G15)</f>
        <v>9.1603174603174589E-2</v>
      </c>
      <c r="H92" s="37">
        <f>H23*(3.98/H15)</f>
        <v>7.5809523809523799E-2</v>
      </c>
    </row>
    <row r="93" spans="4:8">
      <c r="E93" s="62" t="s">
        <v>105</v>
      </c>
      <c r="F93" s="37">
        <f>F23*(3.98/F17)</f>
        <v>7.212031988367866E-2</v>
      </c>
      <c r="G93" s="64">
        <f>G23*(3.98/G17)</f>
        <v>9.7390161153519936E-2</v>
      </c>
      <c r="H93" s="64">
        <f>H23*(3.98/H17)</f>
        <v>7.5809523809523799E-2</v>
      </c>
    </row>
    <row r="94" spans="4:8">
      <c r="E94" s="1" t="s">
        <v>108</v>
      </c>
      <c r="F94" s="102">
        <f>195*F36</f>
        <v>1.1996887500000002</v>
      </c>
      <c r="G94" s="103">
        <f>195*G36</f>
        <v>2.9016487500000001</v>
      </c>
      <c r="H94" s="103">
        <f>195*H36</f>
        <v>26956800</v>
      </c>
    </row>
    <row r="95" spans="4:8">
      <c r="E95" s="1" t="s">
        <v>109</v>
      </c>
      <c r="F95" s="103">
        <f>195*F42</f>
        <v>1.1996887500000002</v>
      </c>
      <c r="G95" s="102">
        <f>195*G42</f>
        <v>2.9016487500000001</v>
      </c>
      <c r="H95" s="102">
        <f>195*H42</f>
        <v>26956800</v>
      </c>
    </row>
    <row r="96" spans="4:8">
      <c r="E96" s="1" t="s">
        <v>110</v>
      </c>
      <c r="F96" s="104"/>
      <c r="G96" s="104"/>
      <c r="H96" s="104"/>
    </row>
    <row r="97" spans="5:8">
      <c r="E97" s="1" t="s">
        <v>112</v>
      </c>
      <c r="F97" s="102">
        <f>210*F37</f>
        <v>3.0146025000000001</v>
      </c>
      <c r="G97" s="103">
        <f>210*G37</f>
        <v>3.1248525000000003</v>
      </c>
      <c r="H97" s="103">
        <f>210*H37</f>
        <v>0</v>
      </c>
    </row>
    <row r="98" spans="5:8">
      <c r="E98" s="1" t="s">
        <v>113</v>
      </c>
      <c r="F98" s="104"/>
      <c r="G98" s="104"/>
      <c r="H98" s="104"/>
    </row>
    <row r="99" spans="5:8">
      <c r="E99" s="1" t="s">
        <v>111</v>
      </c>
      <c r="F99" s="103">
        <f>160*F43</f>
        <v>2.29684</v>
      </c>
      <c r="G99" s="102">
        <f>160*G43</f>
        <v>2.3808400000000001</v>
      </c>
      <c r="H99" s="102">
        <f>160*H43</f>
        <v>0</v>
      </c>
    </row>
    <row r="100" spans="5:8">
      <c r="F100" s="101">
        <f>F94+F97</f>
        <v>4.2142912500000005</v>
      </c>
      <c r="G100" s="101">
        <f>G95+G99</f>
        <v>5.2824887500000006</v>
      </c>
      <c r="H100" s="101">
        <f>H95+H99</f>
        <v>26956800</v>
      </c>
    </row>
  </sheetData>
  <phoneticPr fontId="1" type="noConversion"/>
  <pageMargins left="0.7" right="0.7" top="0.75" bottom="0.75" header="0.3" footer="0.3"/>
  <pageSetup orientation="portrait" r:id="rId1"/>
  <ignoredErrors>
    <ignoredError sqref="F60:H60" formula="1"/>
  </ignoredErrors>
  <drawing r:id="rId2"/>
  <legacyDrawing r:id="rId3"/>
  <oleObjects>
    <mc:AlternateContent xmlns:mc="http://schemas.openxmlformats.org/markup-compatibility/2006">
      <mc:Choice Requires="x14">
        <oleObject progId="Equation.DSMT4" shapeId="2049" r:id="rId4">
          <objectPr defaultSize="0" autoPict="0" r:id="rId5">
            <anchor moveWithCells="1" sizeWithCells="1">
              <from>
                <xdr:col>0</xdr:col>
                <xdr:colOff>312420</xdr:colOff>
                <xdr:row>6</xdr:row>
                <xdr:rowOff>7620</xdr:rowOff>
              </from>
              <to>
                <xdr:col>4</xdr:col>
                <xdr:colOff>0</xdr:colOff>
                <xdr:row>8</xdr:row>
                <xdr:rowOff>152400</xdr:rowOff>
              </to>
            </anchor>
          </objectPr>
        </oleObject>
      </mc:Choice>
      <mc:Fallback>
        <oleObject progId="Equation.DSMT4" shapeId="2049" r:id="rId4"/>
      </mc:Fallback>
    </mc:AlternateContent>
    <mc:AlternateContent xmlns:mc="http://schemas.openxmlformats.org/markup-compatibility/2006">
      <mc:Choice Requires="x14">
        <oleObject progId="Equation.DSMT4" shapeId="2050" r:id="rId6">
          <objectPr defaultSize="0" autoPict="0" r:id="rId7">
            <anchor moveWithCells="1" sizeWithCells="1">
              <from>
                <xdr:col>0</xdr:col>
                <xdr:colOff>274320</xdr:colOff>
                <xdr:row>2</xdr:row>
                <xdr:rowOff>99060</xdr:rowOff>
              </from>
              <to>
                <xdr:col>3</xdr:col>
                <xdr:colOff>739140</xdr:colOff>
                <xdr:row>5</xdr:row>
                <xdr:rowOff>91440</xdr:rowOff>
              </to>
            </anchor>
          </objectPr>
        </oleObject>
      </mc:Choice>
      <mc:Fallback>
        <oleObject progId="Equation.DSMT4" shapeId="2050" r:id="rId6"/>
      </mc:Fallback>
    </mc:AlternateContent>
    <mc:AlternateContent xmlns:mc="http://schemas.openxmlformats.org/markup-compatibility/2006">
      <mc:Choice Requires="x14">
        <oleObject progId="Equation.DSMT4" shapeId="2051" r:id="rId8">
          <objectPr defaultSize="0" autoPict="0" r:id="rId9">
            <anchor moveWithCells="1" sizeWithCells="1">
              <from>
                <xdr:col>0</xdr:col>
                <xdr:colOff>274320</xdr:colOff>
                <xdr:row>9</xdr:row>
                <xdr:rowOff>99060</xdr:rowOff>
              </from>
              <to>
                <xdr:col>3</xdr:col>
                <xdr:colOff>281940</xdr:colOff>
                <xdr:row>12</xdr:row>
                <xdr:rowOff>60960</xdr:rowOff>
              </to>
            </anchor>
          </objectPr>
        </oleObject>
      </mc:Choice>
      <mc:Fallback>
        <oleObject progId="Equation.DSMT4" shapeId="2051" r:id="rId8"/>
      </mc:Fallback>
    </mc:AlternateContent>
    <mc:AlternateContent xmlns:mc="http://schemas.openxmlformats.org/markup-compatibility/2006">
      <mc:Choice Requires="x14">
        <oleObject progId="Equation.DSMT4" shapeId="2052" r:id="rId10">
          <objectPr defaultSize="0" autoPict="0" r:id="rId11">
            <anchor moveWithCells="1" sizeWithCells="1">
              <from>
                <xdr:col>0</xdr:col>
                <xdr:colOff>274320</xdr:colOff>
                <xdr:row>13</xdr:row>
                <xdr:rowOff>99060</xdr:rowOff>
              </from>
              <to>
                <xdr:col>2</xdr:col>
                <xdr:colOff>411480</xdr:colOff>
                <xdr:row>16</xdr:row>
                <xdr:rowOff>30480</xdr:rowOff>
              </to>
            </anchor>
          </objectPr>
        </oleObject>
      </mc:Choice>
      <mc:Fallback>
        <oleObject progId="Equation.DSMT4" shapeId="2052" r:id="rId10"/>
      </mc:Fallback>
    </mc:AlternateContent>
    <mc:AlternateContent xmlns:mc="http://schemas.openxmlformats.org/markup-compatibility/2006">
      <mc:Choice Requires="x14">
        <oleObject progId="Equation.DSMT4" shapeId="2053" r:id="rId12">
          <objectPr defaultSize="0" autoPict="0" r:id="rId13">
            <anchor moveWithCells="1" sizeWithCells="1">
              <from>
                <xdr:col>0</xdr:col>
                <xdr:colOff>274320</xdr:colOff>
                <xdr:row>16</xdr:row>
                <xdr:rowOff>99060</xdr:rowOff>
              </from>
              <to>
                <xdr:col>2</xdr:col>
                <xdr:colOff>662940</xdr:colOff>
                <xdr:row>19</xdr:row>
                <xdr:rowOff>30480</xdr:rowOff>
              </to>
            </anchor>
          </objectPr>
        </oleObject>
      </mc:Choice>
      <mc:Fallback>
        <oleObject progId="Equation.DSMT4" shapeId="2053" r:id="rId12"/>
      </mc:Fallback>
    </mc:AlternateContent>
    <mc:AlternateContent xmlns:mc="http://schemas.openxmlformats.org/markup-compatibility/2006">
      <mc:Choice Requires="x14">
        <oleObject progId="Equation.DSMT4" shapeId="2054" r:id="rId14">
          <objectPr defaultSize="0" autoPict="0" r:id="rId15">
            <anchor moveWithCells="1" sizeWithCells="1">
              <from>
                <xdr:col>0</xdr:col>
                <xdr:colOff>274320</xdr:colOff>
                <xdr:row>19</xdr:row>
                <xdr:rowOff>99060</xdr:rowOff>
              </from>
              <to>
                <xdr:col>1</xdr:col>
                <xdr:colOff>662940</xdr:colOff>
                <xdr:row>20</xdr:row>
                <xdr:rowOff>167640</xdr:rowOff>
              </to>
            </anchor>
          </objectPr>
        </oleObject>
      </mc:Choice>
      <mc:Fallback>
        <oleObject progId="Equation.DSMT4" shapeId="2054" r:id="rId14"/>
      </mc:Fallback>
    </mc:AlternateContent>
    <mc:AlternateContent xmlns:mc="http://schemas.openxmlformats.org/markup-compatibility/2006">
      <mc:Choice Requires="x14">
        <oleObject progId="Equation.DSMT4" shapeId="2055" r:id="rId16">
          <objectPr defaultSize="0" autoPict="0" r:id="rId17">
            <anchor moveWithCells="1" sizeWithCells="1">
              <from>
                <xdr:col>0</xdr:col>
                <xdr:colOff>297180</xdr:colOff>
                <xdr:row>21</xdr:row>
                <xdr:rowOff>0</xdr:rowOff>
              </from>
              <to>
                <xdr:col>1</xdr:col>
                <xdr:colOff>662940</xdr:colOff>
                <xdr:row>23</xdr:row>
                <xdr:rowOff>114300</xdr:rowOff>
              </to>
            </anchor>
          </objectPr>
        </oleObject>
      </mc:Choice>
      <mc:Fallback>
        <oleObject progId="Equation.DSMT4" shapeId="2055" r:id="rId16"/>
      </mc:Fallback>
    </mc:AlternateContent>
    <mc:AlternateContent xmlns:mc="http://schemas.openxmlformats.org/markup-compatibility/2006">
      <mc:Choice Requires="x14">
        <oleObject progId="Equation.DSMT4" shapeId="2056" r:id="rId18">
          <objectPr defaultSize="0" autoPict="0" r:id="rId19">
            <anchor moveWithCells="1" sizeWithCells="1">
              <from>
                <xdr:col>0</xdr:col>
                <xdr:colOff>274320</xdr:colOff>
                <xdr:row>23</xdr:row>
                <xdr:rowOff>160020</xdr:rowOff>
              </from>
              <to>
                <xdr:col>3</xdr:col>
                <xdr:colOff>68580</xdr:colOff>
                <xdr:row>26</xdr:row>
                <xdr:rowOff>91440</xdr:rowOff>
              </to>
            </anchor>
          </objectPr>
        </oleObject>
      </mc:Choice>
      <mc:Fallback>
        <oleObject progId="Equation.DSMT4" shapeId="2056" r:id="rId18"/>
      </mc:Fallback>
    </mc:AlternateContent>
    <mc:AlternateContent xmlns:mc="http://schemas.openxmlformats.org/markup-compatibility/2006">
      <mc:Choice Requires="x14">
        <oleObject progId="Equation.DSMT4" shapeId="2057" r:id="rId20">
          <objectPr defaultSize="0" autoPict="0" r:id="rId19">
            <anchor moveWithCells="1" sizeWithCells="1">
              <from>
                <xdr:col>0</xdr:col>
                <xdr:colOff>381000</xdr:colOff>
                <xdr:row>27</xdr:row>
                <xdr:rowOff>121920</xdr:rowOff>
              </from>
              <to>
                <xdr:col>3</xdr:col>
                <xdr:colOff>175260</xdr:colOff>
                <xdr:row>30</xdr:row>
                <xdr:rowOff>53340</xdr:rowOff>
              </to>
            </anchor>
          </objectPr>
        </oleObject>
      </mc:Choice>
      <mc:Fallback>
        <oleObject progId="Equation.DSMT4" shapeId="2057" r:id="rId2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0863-CC6C-4A58-AB0B-4B867D15DF65}">
  <dimension ref="B1:O100"/>
  <sheetViews>
    <sheetView topLeftCell="B1" workbookViewId="0">
      <selection activeCell="F14" sqref="F14"/>
    </sheetView>
  </sheetViews>
  <sheetFormatPr baseColWidth="10" defaultRowHeight="14.4"/>
  <cols>
    <col min="5" max="5" width="41.6640625" customWidth="1"/>
    <col min="8" max="8" width="17.21875" customWidth="1"/>
  </cols>
  <sheetData>
    <row r="1" spans="2:15">
      <c r="B1" s="6" t="s">
        <v>27</v>
      </c>
    </row>
    <row r="3" spans="2:15">
      <c r="F3" s="8" t="s">
        <v>2</v>
      </c>
      <c r="G3" s="8" t="s">
        <v>3</v>
      </c>
      <c r="H3" s="8" t="s">
        <v>10</v>
      </c>
      <c r="I3" s="7"/>
      <c r="J3" s="7"/>
      <c r="K3" s="7"/>
      <c r="L3" s="7"/>
      <c r="M3" s="7"/>
      <c r="N3" s="7"/>
      <c r="O3" s="7"/>
    </row>
    <row r="4" spans="2:15">
      <c r="E4" s="29" t="s">
        <v>59</v>
      </c>
      <c r="F4" s="30">
        <v>2.94</v>
      </c>
      <c r="G4" s="66">
        <v>2.94</v>
      </c>
      <c r="H4" s="30">
        <v>2.94</v>
      </c>
    </row>
    <row r="5" spans="2:15">
      <c r="E5" s="29" t="s">
        <v>60</v>
      </c>
      <c r="F5" s="30">
        <v>3.15</v>
      </c>
      <c r="G5" s="66">
        <v>3.15</v>
      </c>
      <c r="H5" s="30">
        <v>3.15</v>
      </c>
    </row>
    <row r="6" spans="2:15">
      <c r="E6" s="29" t="s">
        <v>61</v>
      </c>
      <c r="F6" s="30">
        <v>2.62</v>
      </c>
      <c r="G6" s="66">
        <v>2.62</v>
      </c>
      <c r="H6" s="30">
        <v>2.62</v>
      </c>
    </row>
    <row r="7" spans="2:15">
      <c r="E7" s="29" t="s">
        <v>62</v>
      </c>
      <c r="F7" s="31">
        <f>(0.1/F5+0.9/F4)^-1</f>
        <v>2.9597315436241609</v>
      </c>
      <c r="G7" s="67">
        <f>(0.1/G5+0.9/G4)^-1</f>
        <v>2.9597315436241609</v>
      </c>
      <c r="H7" s="31">
        <f>(0.1/H5+0.9/H4)^-1</f>
        <v>2.9597315436241609</v>
      </c>
    </row>
    <row r="8" spans="2:15">
      <c r="E8" s="29" t="s">
        <v>63</v>
      </c>
      <c r="F8" s="4">
        <v>2.98</v>
      </c>
      <c r="G8" s="4">
        <v>2.98</v>
      </c>
      <c r="H8" s="4">
        <v>3.17</v>
      </c>
    </row>
    <row r="9" spans="2:15">
      <c r="E9" s="15" t="s">
        <v>23</v>
      </c>
      <c r="F9" s="33" t="s">
        <v>58</v>
      </c>
      <c r="G9" s="69" t="s">
        <v>77</v>
      </c>
      <c r="H9" s="33" t="s">
        <v>114</v>
      </c>
    </row>
    <row r="10" spans="2:15">
      <c r="E10" s="15" t="s">
        <v>49</v>
      </c>
      <c r="F10" s="12">
        <v>0.3</v>
      </c>
      <c r="G10" s="70">
        <v>0.5</v>
      </c>
      <c r="H10" s="12">
        <v>1</v>
      </c>
      <c r="I10" s="16"/>
      <c r="J10" s="16"/>
      <c r="K10" s="16"/>
      <c r="L10" s="16"/>
      <c r="M10" s="16"/>
      <c r="N10" s="16"/>
      <c r="O10" s="16"/>
    </row>
    <row r="11" spans="2:15">
      <c r="E11" s="22" t="s">
        <v>50</v>
      </c>
      <c r="F11" s="43">
        <f>1-F10</f>
        <v>0.7</v>
      </c>
      <c r="G11" s="71">
        <f>1-G10</f>
        <v>0.5</v>
      </c>
      <c r="H11" s="43">
        <f>1-H10</f>
        <v>0</v>
      </c>
      <c r="I11" s="16"/>
      <c r="J11" s="16"/>
      <c r="K11" s="16"/>
      <c r="L11" s="16"/>
      <c r="M11" s="16"/>
      <c r="N11" s="16"/>
      <c r="O11" s="16"/>
    </row>
    <row r="12" spans="2:15">
      <c r="E12" s="22" t="s">
        <v>51</v>
      </c>
      <c r="F12" s="43">
        <f>1-F10</f>
        <v>0.7</v>
      </c>
      <c r="G12" s="71">
        <f>1-G10</f>
        <v>0.5</v>
      </c>
      <c r="H12" s="43">
        <f>1-H10</f>
        <v>0</v>
      </c>
    </row>
    <row r="13" spans="2:15">
      <c r="E13" s="15" t="s">
        <v>38</v>
      </c>
      <c r="F13" s="18">
        <f>F10-F11*(0.1/0.9)</f>
        <v>0.22222222222222221</v>
      </c>
      <c r="G13" s="72">
        <f>G10-G11*(0.1/0.9)</f>
        <v>0.44444444444444442</v>
      </c>
      <c r="H13" s="18">
        <f>H10-H11*(0.1/0.9)</f>
        <v>1</v>
      </c>
    </row>
    <row r="14" spans="2:15">
      <c r="E14" s="15" t="s">
        <v>39</v>
      </c>
      <c r="F14" s="18">
        <f>1-F13</f>
        <v>0.77777777777777779</v>
      </c>
      <c r="G14" s="72">
        <f>1-G13</f>
        <v>0.55555555555555558</v>
      </c>
      <c r="H14" s="18">
        <f>1-H13</f>
        <v>0</v>
      </c>
    </row>
    <row r="15" spans="2:15">
      <c r="E15" s="32" t="s">
        <v>64</v>
      </c>
      <c r="F15" s="44">
        <f>(F10/F5+F11/F4)^-1</f>
        <v>3</v>
      </c>
      <c r="G15" s="73">
        <f>(G10/G5+G11/G4)^-1</f>
        <v>3.0413793103448281</v>
      </c>
      <c r="H15" s="44">
        <f>(H10/H5+H11/H4)^-1</f>
        <v>3.1500000000000004</v>
      </c>
      <c r="I15" s="2"/>
      <c r="J15" s="83"/>
      <c r="K15" s="2"/>
      <c r="L15" s="2"/>
      <c r="M15" s="2"/>
      <c r="N15" s="2"/>
      <c r="O15" s="2"/>
    </row>
    <row r="16" spans="2:15">
      <c r="E16" s="32" t="s">
        <v>65</v>
      </c>
      <c r="F16" s="44">
        <f>(F13/F5+F14/F7)^-1</f>
        <v>2.9999999999999996</v>
      </c>
      <c r="G16" s="73">
        <f>(G13/G5+G14/G7)^-1</f>
        <v>3.0413793103448277</v>
      </c>
      <c r="H16" s="44">
        <f>(H13/H5+H14/H7)^-1</f>
        <v>3.1500000000000004</v>
      </c>
    </row>
    <row r="17" spans="2:15">
      <c r="E17" s="32" t="s">
        <v>66</v>
      </c>
      <c r="F17" s="44">
        <f>(F10/F5+F12/F6)^-1</f>
        <v>2.7592778335005019</v>
      </c>
      <c r="G17" s="73">
        <f>(G10/G5+G12/G6)^-1</f>
        <v>2.8606585788561527</v>
      </c>
      <c r="H17" s="44">
        <f>(H10/H5+H12/H6)^-1</f>
        <v>3.1500000000000004</v>
      </c>
    </row>
    <row r="18" spans="2:15">
      <c r="E18" s="15" t="s">
        <v>28</v>
      </c>
      <c r="F18" s="12">
        <v>0.82030000000000003</v>
      </c>
      <c r="G18" s="70">
        <v>0.85029999999999994</v>
      </c>
      <c r="H18" s="12">
        <v>0.8</v>
      </c>
    </row>
    <row r="19" spans="2:15">
      <c r="E19" s="22" t="s">
        <v>30</v>
      </c>
      <c r="F19" s="18">
        <f>1/(F18)-1</f>
        <v>0.21906619529440441</v>
      </c>
      <c r="G19" s="72">
        <f>1/(G18)-1</f>
        <v>0.17605550982006357</v>
      </c>
      <c r="H19" s="18">
        <f>1/(H18)-1</f>
        <v>0.25</v>
      </c>
    </row>
    <row r="20" spans="2:15">
      <c r="E20" s="27" t="s">
        <v>67</v>
      </c>
      <c r="F20" s="4">
        <f>0.001*500</f>
        <v>0.5</v>
      </c>
      <c r="G20" s="68">
        <f>0.001*500</f>
        <v>0.5</v>
      </c>
      <c r="H20" s="4">
        <f>8000*360</f>
        <v>2880000</v>
      </c>
    </row>
    <row r="21" spans="2:15">
      <c r="E21" s="15" t="s">
        <v>31</v>
      </c>
      <c r="F21" s="17">
        <v>0.76</v>
      </c>
      <c r="G21" s="74">
        <v>0.76</v>
      </c>
      <c r="H21" s="17">
        <v>0.78</v>
      </c>
      <c r="I21" s="84"/>
      <c r="J21" s="84"/>
      <c r="K21" s="84"/>
      <c r="L21" s="84"/>
      <c r="M21" s="84"/>
      <c r="N21" s="84"/>
      <c r="O21" s="84"/>
    </row>
    <row r="22" spans="2:15">
      <c r="E22" s="15" t="s">
        <v>32</v>
      </c>
      <c r="F22" s="17">
        <v>1</v>
      </c>
      <c r="G22" s="74">
        <v>1</v>
      </c>
      <c r="H22" s="17">
        <v>1</v>
      </c>
      <c r="I22" s="84"/>
      <c r="J22" s="84"/>
      <c r="K22" s="84"/>
      <c r="L22" s="84"/>
      <c r="M22" s="84"/>
      <c r="N22" s="84"/>
      <c r="O22" s="84"/>
    </row>
    <row r="23" spans="2:15">
      <c r="E23" s="15" t="s">
        <v>34</v>
      </c>
      <c r="F23" s="89">
        <v>0.05</v>
      </c>
      <c r="G23" s="90">
        <v>7.0000000000000007E-2</v>
      </c>
      <c r="H23" s="89">
        <v>0.06</v>
      </c>
      <c r="I23" s="16"/>
      <c r="J23" s="16"/>
      <c r="K23" s="16"/>
      <c r="L23" s="16"/>
      <c r="M23" s="16"/>
      <c r="N23" s="16"/>
      <c r="O23" s="16"/>
    </row>
    <row r="24" spans="2:15">
      <c r="B24" s="1"/>
      <c r="C24" s="1"/>
      <c r="D24" s="1"/>
      <c r="E24" s="22" t="s">
        <v>52</v>
      </c>
      <c r="F24" s="45">
        <f>(1+F23)*(1/F8+F23/F15)^-1</f>
        <v>2.9809463321689424</v>
      </c>
      <c r="G24" s="75">
        <f>(1+G23)*(1/G8+G23/G15)^-1</f>
        <v>2.9839396325069445</v>
      </c>
      <c r="H24" s="45">
        <f>(1+H23)*(1/H8+H23/H15)^-1</f>
        <v>3.16886114603916</v>
      </c>
      <c r="I24" s="10"/>
      <c r="J24" s="10"/>
      <c r="K24" s="10"/>
      <c r="L24" s="10"/>
      <c r="M24" s="10"/>
      <c r="N24" s="10"/>
      <c r="O24" s="10"/>
    </row>
    <row r="25" spans="2:15">
      <c r="B25" s="2"/>
      <c r="C25" s="2"/>
      <c r="D25" s="2"/>
      <c r="E25" s="22" t="s">
        <v>53</v>
      </c>
      <c r="F25" s="45">
        <f>(1+F23)*(1/F8+F23/F16)^-1</f>
        <v>2.9809463321689424</v>
      </c>
      <c r="G25" s="75">
        <f>(1+G23)*(1/G8+G23/G16)^-1</f>
        <v>2.9839396325069445</v>
      </c>
      <c r="H25" s="45">
        <f>(1+H23)*(1/H8+H23/H16)^-1</f>
        <v>3.16886114603916</v>
      </c>
    </row>
    <row r="26" spans="2:15">
      <c r="E26" s="22" t="s">
        <v>54</v>
      </c>
      <c r="F26" s="45">
        <f>(1+F23)*(1/F8+F23/F17)^-1</f>
        <v>2.9686917259315488</v>
      </c>
      <c r="G26" s="75">
        <f>(1+G23)*(1/G8+G23/G17)^-1</f>
        <v>2.9718890442720913</v>
      </c>
      <c r="H26" s="45">
        <f>(1+H23)*(1/H8+H23/H17)^-1</f>
        <v>3.16886114603916</v>
      </c>
    </row>
    <row r="27" spans="2:15">
      <c r="E27" s="27" t="s">
        <v>55</v>
      </c>
      <c r="F27" s="46">
        <f>F24/(F21+(F24/F22)*(1-F21))</f>
        <v>2.0203955128149942</v>
      </c>
      <c r="G27" s="76">
        <f>G24/(G21+(G24/G22)*(1-G21))</f>
        <v>2.0214400332830218</v>
      </c>
      <c r="H27" s="46">
        <f>H24/(H21+(H24/H22)*(1-H21))</f>
        <v>2.1452542540450046</v>
      </c>
      <c r="I27" s="2"/>
      <c r="J27" s="2"/>
      <c r="K27" s="2"/>
      <c r="L27" s="2"/>
      <c r="M27" s="2"/>
      <c r="N27" s="2"/>
      <c r="O27" s="2"/>
    </row>
    <row r="28" spans="2:15">
      <c r="E28" s="27" t="s">
        <v>56</v>
      </c>
      <c r="F28" s="46">
        <f>F25/(F21+(F25/F22)*(1-F21))</f>
        <v>2.0203955128149942</v>
      </c>
      <c r="G28" s="76">
        <f>G25/(G21+(G25/G22)*(1-G21))</f>
        <v>2.0214400332830218</v>
      </c>
      <c r="H28" s="46">
        <f>H25/(H21+(H25/H22)*(1-H21))</f>
        <v>2.1452542540450046</v>
      </c>
    </row>
    <row r="29" spans="2:15">
      <c r="E29" s="27" t="s">
        <v>57</v>
      </c>
      <c r="F29" s="46">
        <f>F26/(F21+(F26/F22)*(1-F21))</f>
        <v>2.0161086062993356</v>
      </c>
      <c r="G29" s="76">
        <f>G26/(G21+(G26/G22)*(1-G21))</f>
        <v>2.0172287425418984</v>
      </c>
      <c r="H29" s="46">
        <f>H26/(H21+(H26/H22)*(1-H21))</f>
        <v>2.1452542540450046</v>
      </c>
    </row>
    <row r="30" spans="2:15">
      <c r="E30" s="26" t="s">
        <v>35</v>
      </c>
      <c r="F30" s="4">
        <v>1</v>
      </c>
      <c r="G30" s="68">
        <v>1</v>
      </c>
      <c r="H30" s="4">
        <v>1</v>
      </c>
    </row>
    <row r="31" spans="2:15">
      <c r="E31" s="27" t="s">
        <v>68</v>
      </c>
      <c r="F31" s="47">
        <f>F20*(1+F23)*(F18/F21)</f>
        <v>0.56665460526315792</v>
      </c>
      <c r="G31" s="77">
        <f>G20*(1+G23)*(G18/G21)</f>
        <v>0.59856644736842102</v>
      </c>
      <c r="H31" s="47">
        <f>H20*(1+H23)*(H18/H21)</f>
        <v>3131076.9230769235</v>
      </c>
      <c r="I31" s="85"/>
      <c r="J31" s="85"/>
      <c r="K31" s="85"/>
      <c r="L31" s="85"/>
      <c r="M31" s="85"/>
      <c r="N31" s="85"/>
      <c r="O31" s="85"/>
    </row>
    <row r="32" spans="2:15">
      <c r="E32" s="22" t="s">
        <v>69</v>
      </c>
      <c r="F32" s="18">
        <f>F31*(1-F21)</f>
        <v>0.13599710526315789</v>
      </c>
      <c r="G32" s="72">
        <f>G31*(1-G21)</f>
        <v>0.14365594736842105</v>
      </c>
      <c r="H32" s="18">
        <f>H31*(1-H21)</f>
        <v>688836.92307692312</v>
      </c>
      <c r="I32" s="3"/>
      <c r="J32" s="3"/>
      <c r="K32" s="3"/>
      <c r="L32" s="3"/>
      <c r="M32" s="3"/>
      <c r="N32" s="3"/>
      <c r="O32" s="3"/>
    </row>
    <row r="33" spans="5:15">
      <c r="E33" s="22" t="s">
        <v>70</v>
      </c>
      <c r="F33" s="18">
        <f>F21*(F31/(1+F23))</f>
        <v>0.41015000000000001</v>
      </c>
      <c r="G33" s="72">
        <f>G21*(G31/(1+G23))</f>
        <v>0.42514999999999997</v>
      </c>
      <c r="H33" s="18">
        <f>H21*(H31/(1+H23))</f>
        <v>2304000</v>
      </c>
      <c r="I33" s="2"/>
      <c r="J33" s="2"/>
      <c r="K33" s="2"/>
      <c r="L33" s="2"/>
      <c r="M33" s="2"/>
      <c r="N33" s="2"/>
      <c r="O33" s="2"/>
    </row>
    <row r="34" spans="5:15">
      <c r="E34" s="22" t="s">
        <v>71</v>
      </c>
      <c r="F34" s="18">
        <f>F23*F33</f>
        <v>2.0507500000000001E-2</v>
      </c>
      <c r="G34" s="72">
        <f>G23*G33</f>
        <v>2.9760500000000002E-2</v>
      </c>
      <c r="H34" s="18">
        <f>H23*H33</f>
        <v>138240</v>
      </c>
      <c r="I34" s="86"/>
      <c r="J34" s="86"/>
      <c r="K34" s="86"/>
      <c r="L34" s="86"/>
      <c r="M34" s="86"/>
      <c r="N34" s="86"/>
      <c r="O34" s="86"/>
    </row>
    <row r="35" spans="5:15">
      <c r="E35" s="34" t="str">
        <f>E9</f>
        <v>Type de Liant</v>
      </c>
      <c r="F35" s="48" t="str">
        <f>F9</f>
        <v>GU-Slag</v>
      </c>
      <c r="G35" s="48" t="str">
        <f>G9</f>
        <v>GU-FAC</v>
      </c>
      <c r="H35" s="48" t="str">
        <f>H9</f>
        <v>GU seul</v>
      </c>
    </row>
    <row r="36" spans="5:15">
      <c r="E36" s="1" t="s">
        <v>72</v>
      </c>
      <c r="F36" s="18">
        <f>F10*F34</f>
        <v>6.1522500000000006E-3</v>
      </c>
      <c r="G36" s="72">
        <f>G10*G34</f>
        <v>1.4880250000000001E-2</v>
      </c>
      <c r="H36" s="18">
        <f>H10*H34</f>
        <v>138240</v>
      </c>
      <c r="I36" s="3"/>
      <c r="J36" s="3"/>
      <c r="L36" s="3"/>
      <c r="M36" s="3"/>
      <c r="N36" s="3"/>
      <c r="O36" s="3"/>
    </row>
    <row r="37" spans="5:15">
      <c r="E37" s="1" t="s">
        <v>74</v>
      </c>
      <c r="F37" s="18">
        <f>F11*F34</f>
        <v>1.435525E-2</v>
      </c>
      <c r="G37" s="72">
        <f>G11*G34</f>
        <v>1.4880250000000001E-2</v>
      </c>
      <c r="H37" s="18">
        <f>H11*H34</f>
        <v>0</v>
      </c>
      <c r="I37" s="86"/>
      <c r="J37" s="86"/>
      <c r="K37" s="86"/>
      <c r="L37" s="86"/>
      <c r="M37" s="86"/>
      <c r="N37" s="86"/>
      <c r="O37" s="86"/>
    </row>
    <row r="38" spans="5:15">
      <c r="E38" s="36" t="s">
        <v>23</v>
      </c>
      <c r="F38" s="49" t="s">
        <v>76</v>
      </c>
      <c r="G38" s="78" t="s">
        <v>76</v>
      </c>
      <c r="H38" s="49" t="s">
        <v>76</v>
      </c>
    </row>
    <row r="39" spans="5:15">
      <c r="E39" s="1" t="s">
        <v>72</v>
      </c>
      <c r="F39" s="50">
        <f>F13*F34</f>
        <v>4.5572222222222221E-3</v>
      </c>
      <c r="G39" s="79">
        <f>G13*G34</f>
        <v>1.3226888888888889E-2</v>
      </c>
      <c r="H39" s="50">
        <f>H13*H34</f>
        <v>138240</v>
      </c>
    </row>
    <row r="40" spans="5:15">
      <c r="E40" s="1" t="s">
        <v>73</v>
      </c>
      <c r="F40" s="50">
        <f>F14*F34</f>
        <v>1.5950277777777778E-2</v>
      </c>
      <c r="G40" s="79">
        <f>G14*G34</f>
        <v>1.6533611111111114E-2</v>
      </c>
      <c r="H40" s="50">
        <f>H14*H34</f>
        <v>0</v>
      </c>
      <c r="I40" s="86"/>
      <c r="J40" s="86"/>
      <c r="K40" s="86"/>
      <c r="L40" s="86"/>
      <c r="M40" s="86"/>
      <c r="N40" s="86"/>
      <c r="O40" s="86"/>
    </row>
    <row r="41" spans="5:15">
      <c r="E41" s="36" t="s">
        <v>23</v>
      </c>
      <c r="F41" s="49" t="s">
        <v>77</v>
      </c>
      <c r="G41" s="78" t="s">
        <v>77</v>
      </c>
      <c r="H41" s="49" t="s">
        <v>77</v>
      </c>
    </row>
    <row r="42" spans="5:15">
      <c r="E42" s="1" t="s">
        <v>72</v>
      </c>
      <c r="F42" s="50">
        <f>F10*F34</f>
        <v>6.1522500000000006E-3</v>
      </c>
      <c r="G42" s="79">
        <f>G10*G34</f>
        <v>1.4880250000000001E-2</v>
      </c>
      <c r="H42" s="50">
        <f>H10*H34</f>
        <v>138240</v>
      </c>
    </row>
    <row r="43" spans="5:15">
      <c r="E43" s="1" t="s">
        <v>75</v>
      </c>
      <c r="F43" s="50">
        <f>F12*F34</f>
        <v>1.435525E-2</v>
      </c>
      <c r="G43" s="79">
        <f>G12*G34</f>
        <v>1.4880250000000001E-2</v>
      </c>
      <c r="H43" s="50">
        <f>H12*H34</f>
        <v>0</v>
      </c>
      <c r="I43" s="86"/>
      <c r="J43" s="86"/>
      <c r="K43" s="86"/>
      <c r="L43" s="86"/>
      <c r="M43" s="86"/>
      <c r="N43" s="86"/>
      <c r="O43" s="86"/>
    </row>
    <row r="44" spans="5:15">
      <c r="E44" s="41" t="s">
        <v>48</v>
      </c>
      <c r="F44" s="51">
        <f>F31*(1-F21)-F33*(1/F18-1)</f>
        <v>4.614710526315792E-2</v>
      </c>
      <c r="G44" s="80">
        <f>G31*(1-G21)-G33*(1/G18-1)</f>
        <v>6.8805947368421022E-2</v>
      </c>
      <c r="H44" s="51">
        <f>H31*(1-H21)-H33*(1/H18-1)</f>
        <v>112836.92307692312</v>
      </c>
    </row>
    <row r="46" spans="5:15" ht="28.8">
      <c r="E46" s="8" t="s">
        <v>0</v>
      </c>
      <c r="F46" s="107" t="s">
        <v>115</v>
      </c>
      <c r="G46" s="107" t="s">
        <v>116</v>
      </c>
      <c r="H46" s="107" t="s">
        <v>117</v>
      </c>
      <c r="I46" s="87"/>
      <c r="J46" s="87"/>
      <c r="K46" s="87"/>
      <c r="L46" s="87"/>
      <c r="M46" s="87"/>
      <c r="N46" s="87"/>
      <c r="O46" s="87"/>
    </row>
    <row r="47" spans="5:15">
      <c r="E47" s="5" t="s">
        <v>4</v>
      </c>
      <c r="F47" s="38">
        <f>(F33+F34)/F31</f>
        <v>0.76</v>
      </c>
      <c r="G47" s="81">
        <f>(G33+G34)/G31</f>
        <v>0.76</v>
      </c>
      <c r="H47" s="38">
        <f>(H33+H34)/H31</f>
        <v>0.77999999999999992</v>
      </c>
      <c r="I47" s="88"/>
      <c r="J47" s="88"/>
      <c r="K47" s="88"/>
      <c r="L47" s="88"/>
      <c r="M47" s="88"/>
      <c r="N47" s="88"/>
      <c r="O47" s="88"/>
    </row>
    <row r="48" spans="5:15">
      <c r="E48" s="23" t="s">
        <v>118</v>
      </c>
      <c r="F48" s="42">
        <f>1000*F20</f>
        <v>500</v>
      </c>
      <c r="G48" s="82">
        <f>1000*G20</f>
        <v>500</v>
      </c>
      <c r="H48" s="42">
        <f>1*H20</f>
        <v>2880000</v>
      </c>
      <c r="I48" s="86"/>
      <c r="J48" s="86"/>
      <c r="K48" s="86"/>
      <c r="L48" s="86"/>
      <c r="M48" s="86"/>
      <c r="N48" s="86"/>
      <c r="O48" s="86"/>
    </row>
    <row r="49" spans="4:15">
      <c r="E49" s="23" t="s">
        <v>119</v>
      </c>
      <c r="F49" s="18">
        <f>1000*F33</f>
        <v>410.15000000000003</v>
      </c>
      <c r="G49" s="72">
        <f>1000*G33</f>
        <v>425.15</v>
      </c>
      <c r="H49" s="18">
        <f>1*H33</f>
        <v>2304000</v>
      </c>
    </row>
    <row r="50" spans="4:15">
      <c r="E50" s="23" t="s">
        <v>120</v>
      </c>
      <c r="F50" s="42">
        <f>1000*F34</f>
        <v>20.5075</v>
      </c>
      <c r="G50" s="82">
        <f>1000*G34</f>
        <v>29.760500000000004</v>
      </c>
      <c r="H50" s="42">
        <f>1*H34</f>
        <v>138240</v>
      </c>
    </row>
    <row r="51" spans="4:15">
      <c r="E51" s="24" t="s">
        <v>121</v>
      </c>
      <c r="F51" s="42">
        <f>1000*F36</f>
        <v>6.1522500000000004</v>
      </c>
      <c r="G51" s="82">
        <f>1000*G36</f>
        <v>14.880250000000002</v>
      </c>
      <c r="H51" s="42">
        <f>1*H36</f>
        <v>138240</v>
      </c>
      <c r="I51" s="86"/>
      <c r="J51" s="86"/>
      <c r="K51" s="86"/>
      <c r="L51" s="86"/>
      <c r="M51" s="86"/>
      <c r="N51" s="86"/>
      <c r="O51" s="86"/>
    </row>
    <row r="52" spans="4:15">
      <c r="E52" s="24" t="s">
        <v>122</v>
      </c>
      <c r="F52" s="42">
        <f>1000*F39</f>
        <v>4.5572222222222223</v>
      </c>
      <c r="G52" s="82">
        <f>1000*G39</f>
        <v>13.226888888888888</v>
      </c>
      <c r="H52" s="42">
        <f>1*H39</f>
        <v>138240</v>
      </c>
    </row>
    <row r="53" spans="4:15">
      <c r="E53" s="24" t="s">
        <v>123</v>
      </c>
      <c r="F53" s="42">
        <f>1000*F37</f>
        <v>14.35525</v>
      </c>
      <c r="G53" s="82">
        <f>1000*G37</f>
        <v>14.880250000000002</v>
      </c>
      <c r="H53" s="42">
        <f>1*H37</f>
        <v>0</v>
      </c>
      <c r="I53" s="86"/>
      <c r="J53" s="86"/>
      <c r="K53" s="86"/>
      <c r="L53" s="86"/>
      <c r="M53" s="86"/>
      <c r="N53" s="86"/>
      <c r="O53" s="86"/>
    </row>
    <row r="54" spans="4:15">
      <c r="E54" s="24" t="s">
        <v>124</v>
      </c>
      <c r="F54" s="42">
        <f>1000*F40</f>
        <v>15.950277777777778</v>
      </c>
      <c r="G54" s="82">
        <f>1000*G40</f>
        <v>16.533611111111114</v>
      </c>
      <c r="H54" s="42">
        <f>1*H40</f>
        <v>0</v>
      </c>
    </row>
    <row r="55" spans="4:15">
      <c r="E55" s="24" t="s">
        <v>125</v>
      </c>
      <c r="F55" s="42">
        <f>1000*F43</f>
        <v>14.35525</v>
      </c>
      <c r="G55" s="82">
        <f>1000*G43</f>
        <v>14.880250000000002</v>
      </c>
      <c r="H55" s="42">
        <f>1*H43</f>
        <v>0</v>
      </c>
    </row>
    <row r="56" spans="4:15">
      <c r="E56" s="40" t="s">
        <v>126</v>
      </c>
      <c r="F56" s="42">
        <f>1000*F44</f>
        <v>46.147105263157918</v>
      </c>
      <c r="G56" s="82">
        <f>1000*G44</f>
        <v>68.805947368421016</v>
      </c>
      <c r="H56" s="42">
        <f>1*H44</f>
        <v>112836.92307692312</v>
      </c>
      <c r="I56" s="86"/>
      <c r="J56" s="86"/>
      <c r="K56" s="86"/>
      <c r="L56" s="86"/>
      <c r="M56" s="86"/>
      <c r="N56" s="86"/>
      <c r="O56" s="86"/>
    </row>
    <row r="57" spans="4:15">
      <c r="E57" s="25"/>
      <c r="F57" s="39"/>
      <c r="G57" s="39"/>
      <c r="H57" s="39"/>
      <c r="I57" s="21"/>
      <c r="J57" s="21"/>
      <c r="K57" s="21"/>
      <c r="L57" s="21"/>
      <c r="M57" s="21"/>
      <c r="N57" s="21"/>
      <c r="O57" s="21"/>
    </row>
    <row r="58" spans="4:15" ht="28.8">
      <c r="E58" s="52" t="s">
        <v>78</v>
      </c>
      <c r="F58" s="106" t="s">
        <v>115</v>
      </c>
      <c r="G58" s="106" t="s">
        <v>116</v>
      </c>
      <c r="H58" s="106" t="s">
        <v>117</v>
      </c>
    </row>
    <row r="59" spans="4:15">
      <c r="E59" s="22" t="s">
        <v>83</v>
      </c>
      <c r="F59" s="43">
        <f>F47</f>
        <v>0.76</v>
      </c>
      <c r="G59" s="43">
        <f>G47</f>
        <v>0.76</v>
      </c>
      <c r="H59" s="43">
        <f>H47</f>
        <v>0.77999999999999992</v>
      </c>
    </row>
    <row r="60" spans="4:15">
      <c r="D60" s="1"/>
      <c r="E60" s="22" t="s">
        <v>84</v>
      </c>
      <c r="F60" s="64">
        <f>1/F47-1</f>
        <v>0.31578947368421062</v>
      </c>
      <c r="G60" s="64">
        <f>1/G47-1</f>
        <v>0.31578947368421062</v>
      </c>
      <c r="H60" s="64">
        <f>1/H47-1</f>
        <v>0.28205128205128216</v>
      </c>
    </row>
    <row r="61" spans="4:15">
      <c r="D61" s="1"/>
      <c r="E61" s="1" t="str">
        <f>E49</f>
        <v>Masse résidus secs Mt</v>
      </c>
      <c r="F61" s="51">
        <f>F49</f>
        <v>410.15000000000003</v>
      </c>
      <c r="G61" s="51">
        <f>G49</f>
        <v>425.15</v>
      </c>
      <c r="H61" s="51">
        <f>H49</f>
        <v>2304000</v>
      </c>
    </row>
    <row r="62" spans="4:15">
      <c r="D62" s="1"/>
      <c r="E62" s="1" t="str">
        <f>E51</f>
        <v>Masse ciment GU-Slag/FAC</v>
      </c>
      <c r="F62" s="91">
        <f>F51</f>
        <v>6.1522500000000004</v>
      </c>
      <c r="G62" s="91">
        <f>G51</f>
        <v>14.880250000000002</v>
      </c>
      <c r="H62" s="91">
        <f>H51</f>
        <v>138240</v>
      </c>
    </row>
    <row r="63" spans="4:15">
      <c r="D63" s="1"/>
      <c r="E63" s="1" t="str">
        <f>E53</f>
        <v>Masse Slag_GU-Slag</v>
      </c>
      <c r="F63" s="91">
        <f>F53</f>
        <v>14.35525</v>
      </c>
      <c r="G63" s="63">
        <f>G53</f>
        <v>14.880250000000002</v>
      </c>
      <c r="H63" s="63">
        <f>H53</f>
        <v>0</v>
      </c>
    </row>
    <row r="64" spans="4:15">
      <c r="D64" s="1"/>
      <c r="E64" s="1" t="str">
        <f>E55</f>
        <v>Masse FAC</v>
      </c>
      <c r="F64" s="63">
        <f>F55</f>
        <v>14.35525</v>
      </c>
      <c r="G64" s="91">
        <f>G55</f>
        <v>14.880250000000002</v>
      </c>
      <c r="H64" s="91">
        <f>H55</f>
        <v>0</v>
      </c>
    </row>
    <row r="65" spans="4:8" ht="14.4" customHeight="1">
      <c r="D65" s="1"/>
      <c r="E65" s="105" t="s">
        <v>127</v>
      </c>
      <c r="F65" s="11">
        <f>1000*F32</f>
        <v>135.99710526315789</v>
      </c>
      <c r="G65" s="11">
        <f>1000*G32</f>
        <v>143.65594736842104</v>
      </c>
      <c r="H65" s="11">
        <f>1*H32</f>
        <v>688836.92307692312</v>
      </c>
    </row>
    <row r="66" spans="4:8" ht="14.4" customHeight="1">
      <c r="D66" s="1"/>
      <c r="E66" s="1" t="str">
        <f>E56</f>
        <v>Masse eau à ajouter Mw-aj</v>
      </c>
      <c r="F66" s="11">
        <f>F56</f>
        <v>46.147105263157918</v>
      </c>
      <c r="G66" s="11">
        <f>G56</f>
        <v>68.805947368421016</v>
      </c>
      <c r="H66" s="11">
        <f>H56</f>
        <v>112836.92307692312</v>
      </c>
    </row>
    <row r="67" spans="4:8">
      <c r="D67" s="1"/>
      <c r="E67" s="22" t="s">
        <v>85</v>
      </c>
      <c r="F67" s="11">
        <f>F32/F34</f>
        <v>6.6315789473684204</v>
      </c>
      <c r="G67" s="11">
        <f>G32/G34</f>
        <v>4.8270676691729317</v>
      </c>
      <c r="H67" s="11">
        <f>H32/H34</f>
        <v>4.982905982905983</v>
      </c>
    </row>
    <row r="68" spans="4:8">
      <c r="D68" s="1"/>
      <c r="E68" s="62" t="s">
        <v>86</v>
      </c>
      <c r="F68" s="64">
        <f>F23*(F8/F15)</f>
        <v>4.9666666666666665E-2</v>
      </c>
      <c r="G68" s="96">
        <f>G23*(G8/G15)</f>
        <v>6.8587301587301572E-2</v>
      </c>
      <c r="H68" s="96">
        <f>H23*(H8/H15)</f>
        <v>6.0380952380952362E-2</v>
      </c>
    </row>
    <row r="69" spans="4:8">
      <c r="D69" s="1"/>
      <c r="E69" s="62" t="s">
        <v>87</v>
      </c>
      <c r="F69" s="96">
        <f>F23*(F8/F17)</f>
        <v>5.3999636495819694E-2</v>
      </c>
      <c r="G69" s="64">
        <f>G23*(G8/G17)</f>
        <v>7.2920271416454616E-2</v>
      </c>
      <c r="H69" s="64">
        <f>H23*(H8/H17)</f>
        <v>6.0380952380952362E-2</v>
      </c>
    </row>
    <row r="70" spans="4:8">
      <c r="D70" s="1"/>
      <c r="E70" s="55" t="s">
        <v>92</v>
      </c>
      <c r="F70" s="65">
        <f>F24</f>
        <v>2.9809463321689424</v>
      </c>
      <c r="G70" s="65">
        <f>G24</f>
        <v>2.9839396325069445</v>
      </c>
      <c r="H70" s="65">
        <f>H24</f>
        <v>3.16886114603916</v>
      </c>
    </row>
    <row r="71" spans="4:8">
      <c r="D71" s="1"/>
      <c r="E71" s="55" t="s">
        <v>93</v>
      </c>
      <c r="F71" s="65">
        <f t="shared" ref="F71:H72" si="0">F26</f>
        <v>2.9686917259315488</v>
      </c>
      <c r="G71" s="65">
        <f t="shared" si="0"/>
        <v>2.9718890442720913</v>
      </c>
      <c r="H71" s="65">
        <f t="shared" si="0"/>
        <v>3.16886114603916</v>
      </c>
    </row>
    <row r="72" spans="4:8">
      <c r="D72" s="1"/>
      <c r="E72" s="53" t="s">
        <v>79</v>
      </c>
      <c r="F72" s="97">
        <f t="shared" si="0"/>
        <v>2.0203955128149942</v>
      </c>
      <c r="G72" s="65">
        <f t="shared" si="0"/>
        <v>2.0214400332830218</v>
      </c>
      <c r="H72" s="65">
        <f t="shared" si="0"/>
        <v>2.1452542540450046</v>
      </c>
    </row>
    <row r="73" spans="4:8">
      <c r="D73" s="1"/>
      <c r="E73" s="53" t="s">
        <v>80</v>
      </c>
      <c r="F73" s="65">
        <f>F29</f>
        <v>2.0161086062993356</v>
      </c>
      <c r="G73" s="97">
        <f>G29</f>
        <v>2.0172287425418984</v>
      </c>
      <c r="H73" s="97">
        <f>H29</f>
        <v>2.1452542540450046</v>
      </c>
    </row>
    <row r="74" spans="4:8">
      <c r="D74" s="1"/>
      <c r="E74" s="53" t="s">
        <v>81</v>
      </c>
      <c r="F74" s="97">
        <f>F59*F72</f>
        <v>1.5355005897393956</v>
      </c>
      <c r="G74" s="65">
        <f>G59*G72</f>
        <v>1.5362944252950965</v>
      </c>
      <c r="H74" s="65">
        <f>H59*H72</f>
        <v>1.6732983181551033</v>
      </c>
    </row>
    <row r="75" spans="4:8">
      <c r="D75" s="1"/>
      <c r="E75" s="53" t="s">
        <v>82</v>
      </c>
      <c r="F75" s="65">
        <f>F59*F73</f>
        <v>1.5322425407874951</v>
      </c>
      <c r="G75" s="97">
        <f>G59*G73</f>
        <v>1.5330938443318429</v>
      </c>
      <c r="H75" s="97">
        <f>H59*H73</f>
        <v>1.6732983181551033</v>
      </c>
    </row>
    <row r="76" spans="4:8">
      <c r="E76" s="32" t="s">
        <v>88</v>
      </c>
      <c r="F76" s="92">
        <f t="shared" ref="F76:H77" si="1">F74/F70</f>
        <v>0.51510507692440155</v>
      </c>
      <c r="G76" s="94">
        <f t="shared" si="1"/>
        <v>0.51485439201207472</v>
      </c>
      <c r="H76" s="94">
        <f t="shared" si="1"/>
        <v>0.52804406411009874</v>
      </c>
    </row>
    <row r="77" spans="4:8">
      <c r="E77" s="32" t="s">
        <v>89</v>
      </c>
      <c r="F77" s="94">
        <f t="shared" si="1"/>
        <v>0.51613393448815947</v>
      </c>
      <c r="G77" s="92">
        <f t="shared" si="1"/>
        <v>0.51586510178994438</v>
      </c>
      <c r="H77" s="92">
        <f t="shared" si="1"/>
        <v>0.52804406411009874</v>
      </c>
    </row>
    <row r="78" spans="4:8">
      <c r="D78" s="1"/>
      <c r="E78" s="35" t="s">
        <v>90</v>
      </c>
      <c r="F78" s="50">
        <f>F31/F72</f>
        <v>0.28046716678441069</v>
      </c>
      <c r="G78" s="50">
        <f>G31/G72</f>
        <v>0.29610893101601876</v>
      </c>
      <c r="H78" s="50">
        <f>H31/H72</f>
        <v>1459536.5174888205</v>
      </c>
    </row>
    <row r="79" spans="4:8">
      <c r="D79" s="1"/>
      <c r="E79" s="56" t="s">
        <v>91</v>
      </c>
      <c r="F79" s="50">
        <f>F31/F73</f>
        <v>0.28106353174260773</v>
      </c>
      <c r="G79" s="50">
        <f>G31/G73</f>
        <v>0.29672710622503368</v>
      </c>
      <c r="H79" s="50">
        <f>H31/H73</f>
        <v>1459536.5174888205</v>
      </c>
    </row>
    <row r="80" spans="4:8">
      <c r="D80" s="1"/>
      <c r="E80" s="54" t="s">
        <v>94</v>
      </c>
      <c r="F80" s="51">
        <f t="shared" ref="F80:H81" si="2">F78*(1-F76)</f>
        <v>0.13599710526315786</v>
      </c>
      <c r="G80" s="18">
        <f t="shared" si="2"/>
        <v>0.14365594736842105</v>
      </c>
      <c r="H80" s="18">
        <f t="shared" si="2"/>
        <v>688836.92307692347</v>
      </c>
    </row>
    <row r="81" spans="4:8">
      <c r="D81" s="1"/>
      <c r="E81" s="54" t="s">
        <v>95</v>
      </c>
      <c r="F81" s="18">
        <f t="shared" si="2"/>
        <v>0.13599710526315789</v>
      </c>
      <c r="G81" s="51">
        <f t="shared" si="2"/>
        <v>0.14365594736842105</v>
      </c>
      <c r="H81" s="51">
        <f t="shared" si="2"/>
        <v>688836.92307692347</v>
      </c>
    </row>
    <row r="82" spans="4:8">
      <c r="E82" s="98" t="s">
        <v>106</v>
      </c>
      <c r="F82" s="99">
        <f>F60*(F74/1)</f>
        <v>0.48489492307559878</v>
      </c>
      <c r="G82" s="99">
        <f>G60*(G74/1)</f>
        <v>0.48514560798792539</v>
      </c>
      <c r="H82" s="99">
        <f>H60*(H74/1)</f>
        <v>0.47195593588990115</v>
      </c>
    </row>
    <row r="83" spans="4:8">
      <c r="E83" s="100" t="s">
        <v>107</v>
      </c>
      <c r="F83" s="99">
        <f>F60*(F75/1)</f>
        <v>0.48386606551184069</v>
      </c>
      <c r="G83" s="99">
        <f>G60*(G75/1)</f>
        <v>0.48413489821005579</v>
      </c>
      <c r="H83" s="99">
        <f>H60*(H75/1)</f>
        <v>0.47195593588990115</v>
      </c>
    </row>
    <row r="84" spans="4:8">
      <c r="D84" s="29"/>
      <c r="E84" s="57" t="s">
        <v>97</v>
      </c>
      <c r="F84" s="93">
        <f t="shared" ref="F84:H85" si="3">1/F76-1</f>
        <v>0.94135147331650781</v>
      </c>
      <c r="G84" s="95">
        <f t="shared" si="3"/>
        <v>0.94229672605482473</v>
      </c>
      <c r="H84" s="95">
        <f t="shared" si="3"/>
        <v>0.89378134888284078</v>
      </c>
    </row>
    <row r="85" spans="4:8">
      <c r="D85" s="29"/>
      <c r="E85" s="57" t="s">
        <v>98</v>
      </c>
      <c r="F85" s="95">
        <f t="shared" si="3"/>
        <v>0.93748159766259431</v>
      </c>
      <c r="G85" s="93">
        <f t="shared" si="3"/>
        <v>0.93849127713855518</v>
      </c>
      <c r="H85" s="93">
        <f t="shared" si="3"/>
        <v>0.89378134888284078</v>
      </c>
    </row>
    <row r="86" spans="4:8">
      <c r="D86" s="58"/>
      <c r="E86" s="29" t="s">
        <v>96</v>
      </c>
      <c r="F86" s="93">
        <f t="shared" ref="F86:H87" si="4">F84/(1+F84)</f>
        <v>0.48489492307559845</v>
      </c>
      <c r="G86" s="95">
        <f t="shared" si="4"/>
        <v>0.48514560798792528</v>
      </c>
      <c r="H86" s="95">
        <f t="shared" si="4"/>
        <v>0.47195593588990126</v>
      </c>
    </row>
    <row r="87" spans="4:8">
      <c r="D87" s="58"/>
      <c r="E87" s="29" t="s">
        <v>99</v>
      </c>
      <c r="F87" s="95">
        <f t="shared" si="4"/>
        <v>0.48386606551184053</v>
      </c>
      <c r="G87" s="93">
        <f t="shared" si="4"/>
        <v>0.48413489821005562</v>
      </c>
      <c r="H87" s="93">
        <f t="shared" si="4"/>
        <v>0.47195593588990126</v>
      </c>
    </row>
    <row r="88" spans="4:8">
      <c r="D88" s="1"/>
      <c r="E88" s="59" t="s">
        <v>100</v>
      </c>
      <c r="F88" s="11">
        <f t="shared" ref="F88:H91" si="5">9.81*F72</f>
        <v>19.820079980715093</v>
      </c>
      <c r="G88" s="42">
        <f t="shared" si="5"/>
        <v>19.830326726506446</v>
      </c>
      <c r="H88" s="42">
        <f t="shared" si="5"/>
        <v>21.044944232181496</v>
      </c>
    </row>
    <row r="89" spans="4:8">
      <c r="D89" s="1"/>
      <c r="E89" s="59" t="s">
        <v>101</v>
      </c>
      <c r="F89" s="42">
        <f t="shared" si="5"/>
        <v>19.778025427796482</v>
      </c>
      <c r="G89" s="11">
        <f t="shared" si="5"/>
        <v>19.789013964336025</v>
      </c>
      <c r="H89" s="11">
        <f t="shared" si="5"/>
        <v>21.044944232181496</v>
      </c>
    </row>
    <row r="90" spans="4:8">
      <c r="D90" s="60"/>
      <c r="E90" s="61" t="s">
        <v>102</v>
      </c>
      <c r="F90" s="11">
        <f t="shared" si="5"/>
        <v>15.063260785343472</v>
      </c>
      <c r="G90" s="42">
        <f t="shared" si="5"/>
        <v>15.071048312144898</v>
      </c>
      <c r="H90" s="42">
        <f t="shared" si="5"/>
        <v>16.415056501101564</v>
      </c>
    </row>
    <row r="91" spans="4:8">
      <c r="D91" s="60"/>
      <c r="E91" s="61" t="s">
        <v>103</v>
      </c>
      <c r="F91" s="42">
        <f t="shared" si="5"/>
        <v>15.031299325125328</v>
      </c>
      <c r="G91" s="11">
        <f t="shared" si="5"/>
        <v>15.039650612895381</v>
      </c>
      <c r="H91" s="11">
        <f t="shared" si="5"/>
        <v>16.415056501101564</v>
      </c>
    </row>
    <row r="92" spans="4:8">
      <c r="E92" s="62" t="s">
        <v>104</v>
      </c>
      <c r="F92" s="64">
        <f>F23*(3.98/F15)</f>
        <v>6.6333333333333341E-2</v>
      </c>
      <c r="G92" s="37">
        <f>G23*(3.98/G15)</f>
        <v>9.1603174603174589E-2</v>
      </c>
      <c r="H92" s="37">
        <f>H23*(3.98/H15)</f>
        <v>7.5809523809523799E-2</v>
      </c>
    </row>
    <row r="93" spans="4:8">
      <c r="E93" s="62" t="s">
        <v>105</v>
      </c>
      <c r="F93" s="37">
        <f>F23*(3.98/F17)</f>
        <v>7.212031988367866E-2</v>
      </c>
      <c r="G93" s="64">
        <f>G23*(3.98/G17)</f>
        <v>9.7390161153519936E-2</v>
      </c>
      <c r="H93" s="64">
        <f>H23*(3.98/H17)</f>
        <v>7.5809523809523799E-2</v>
      </c>
    </row>
    <row r="94" spans="4:8">
      <c r="E94" s="1" t="s">
        <v>108</v>
      </c>
      <c r="F94" s="102">
        <f>195*F36</f>
        <v>1.1996887500000002</v>
      </c>
      <c r="G94" s="103">
        <f>195*G36</f>
        <v>2.9016487500000001</v>
      </c>
      <c r="H94" s="103">
        <f>195*H36</f>
        <v>26956800</v>
      </c>
    </row>
    <row r="95" spans="4:8">
      <c r="E95" s="1" t="s">
        <v>109</v>
      </c>
      <c r="F95" s="103">
        <f>195*F42</f>
        <v>1.1996887500000002</v>
      </c>
      <c r="G95" s="102">
        <f>195*G42</f>
        <v>2.9016487500000001</v>
      </c>
      <c r="H95" s="102">
        <f>195*H42</f>
        <v>26956800</v>
      </c>
    </row>
    <row r="96" spans="4:8">
      <c r="E96" s="1" t="s">
        <v>110</v>
      </c>
      <c r="F96" s="104"/>
      <c r="G96" s="104"/>
      <c r="H96" s="104"/>
    </row>
    <row r="97" spans="5:8">
      <c r="E97" s="1" t="s">
        <v>112</v>
      </c>
      <c r="F97" s="102">
        <f>210*F37</f>
        <v>3.0146025000000001</v>
      </c>
      <c r="G97" s="103">
        <f>210*G37</f>
        <v>3.1248525000000003</v>
      </c>
      <c r="H97" s="103">
        <f>210*H37</f>
        <v>0</v>
      </c>
    </row>
    <row r="98" spans="5:8">
      <c r="E98" s="1" t="s">
        <v>113</v>
      </c>
      <c r="F98" s="104"/>
      <c r="G98" s="104"/>
      <c r="H98" s="104"/>
    </row>
    <row r="99" spans="5:8">
      <c r="E99" s="1" t="s">
        <v>111</v>
      </c>
      <c r="F99" s="103">
        <f>160*F43</f>
        <v>2.29684</v>
      </c>
      <c r="G99" s="102">
        <f>160*G43</f>
        <v>2.3808400000000001</v>
      </c>
      <c r="H99" s="102">
        <f>160*H43</f>
        <v>0</v>
      </c>
    </row>
    <row r="100" spans="5:8">
      <c r="F100" s="101">
        <f>F94+F97</f>
        <v>4.2142912500000005</v>
      </c>
      <c r="G100" s="101">
        <f>G95+G99</f>
        <v>5.2824887500000006</v>
      </c>
      <c r="H100" s="101">
        <f>H95+H99</f>
        <v>26956800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3073" r:id="rId4">
          <objectPr defaultSize="0" autoPict="0" r:id="rId5">
            <anchor moveWithCells="1" sizeWithCells="1">
              <from>
                <xdr:col>0</xdr:col>
                <xdr:colOff>312420</xdr:colOff>
                <xdr:row>6</xdr:row>
                <xdr:rowOff>7620</xdr:rowOff>
              </from>
              <to>
                <xdr:col>4</xdr:col>
                <xdr:colOff>0</xdr:colOff>
                <xdr:row>8</xdr:row>
                <xdr:rowOff>152400</xdr:rowOff>
              </to>
            </anchor>
          </objectPr>
        </oleObject>
      </mc:Choice>
      <mc:Fallback>
        <oleObject progId="Equation.DSMT4" shapeId="3073" r:id="rId4"/>
      </mc:Fallback>
    </mc:AlternateContent>
    <mc:AlternateContent xmlns:mc="http://schemas.openxmlformats.org/markup-compatibility/2006">
      <mc:Choice Requires="x14">
        <oleObject progId="Equation.DSMT4" shapeId="3074" r:id="rId6">
          <objectPr defaultSize="0" autoPict="0" r:id="rId7">
            <anchor moveWithCells="1" sizeWithCells="1">
              <from>
                <xdr:col>0</xdr:col>
                <xdr:colOff>274320</xdr:colOff>
                <xdr:row>2</xdr:row>
                <xdr:rowOff>99060</xdr:rowOff>
              </from>
              <to>
                <xdr:col>3</xdr:col>
                <xdr:colOff>739140</xdr:colOff>
                <xdr:row>5</xdr:row>
                <xdr:rowOff>91440</xdr:rowOff>
              </to>
            </anchor>
          </objectPr>
        </oleObject>
      </mc:Choice>
      <mc:Fallback>
        <oleObject progId="Equation.DSMT4" shapeId="3074" r:id="rId6"/>
      </mc:Fallback>
    </mc:AlternateContent>
    <mc:AlternateContent xmlns:mc="http://schemas.openxmlformats.org/markup-compatibility/2006">
      <mc:Choice Requires="x14">
        <oleObject progId="Equation.DSMT4" shapeId="3075" r:id="rId8">
          <objectPr defaultSize="0" autoPict="0" r:id="rId9">
            <anchor moveWithCells="1" sizeWithCells="1">
              <from>
                <xdr:col>0</xdr:col>
                <xdr:colOff>274320</xdr:colOff>
                <xdr:row>9</xdr:row>
                <xdr:rowOff>99060</xdr:rowOff>
              </from>
              <to>
                <xdr:col>3</xdr:col>
                <xdr:colOff>281940</xdr:colOff>
                <xdr:row>12</xdr:row>
                <xdr:rowOff>60960</xdr:rowOff>
              </to>
            </anchor>
          </objectPr>
        </oleObject>
      </mc:Choice>
      <mc:Fallback>
        <oleObject progId="Equation.DSMT4" shapeId="3075" r:id="rId8"/>
      </mc:Fallback>
    </mc:AlternateContent>
    <mc:AlternateContent xmlns:mc="http://schemas.openxmlformats.org/markup-compatibility/2006">
      <mc:Choice Requires="x14">
        <oleObject progId="Equation.DSMT4" shapeId="3076" r:id="rId10">
          <objectPr defaultSize="0" autoPict="0" r:id="rId11">
            <anchor moveWithCells="1" sizeWithCells="1">
              <from>
                <xdr:col>0</xdr:col>
                <xdr:colOff>274320</xdr:colOff>
                <xdr:row>13</xdr:row>
                <xdr:rowOff>99060</xdr:rowOff>
              </from>
              <to>
                <xdr:col>2</xdr:col>
                <xdr:colOff>411480</xdr:colOff>
                <xdr:row>16</xdr:row>
                <xdr:rowOff>30480</xdr:rowOff>
              </to>
            </anchor>
          </objectPr>
        </oleObject>
      </mc:Choice>
      <mc:Fallback>
        <oleObject progId="Equation.DSMT4" shapeId="3076" r:id="rId10"/>
      </mc:Fallback>
    </mc:AlternateContent>
    <mc:AlternateContent xmlns:mc="http://schemas.openxmlformats.org/markup-compatibility/2006">
      <mc:Choice Requires="x14">
        <oleObject progId="Equation.DSMT4" shapeId="3077" r:id="rId12">
          <objectPr defaultSize="0" autoPict="0" r:id="rId13">
            <anchor moveWithCells="1" sizeWithCells="1">
              <from>
                <xdr:col>0</xdr:col>
                <xdr:colOff>274320</xdr:colOff>
                <xdr:row>16</xdr:row>
                <xdr:rowOff>99060</xdr:rowOff>
              </from>
              <to>
                <xdr:col>2</xdr:col>
                <xdr:colOff>662940</xdr:colOff>
                <xdr:row>19</xdr:row>
                <xdr:rowOff>30480</xdr:rowOff>
              </to>
            </anchor>
          </objectPr>
        </oleObject>
      </mc:Choice>
      <mc:Fallback>
        <oleObject progId="Equation.DSMT4" shapeId="3077" r:id="rId12"/>
      </mc:Fallback>
    </mc:AlternateContent>
    <mc:AlternateContent xmlns:mc="http://schemas.openxmlformats.org/markup-compatibility/2006">
      <mc:Choice Requires="x14">
        <oleObject progId="Equation.DSMT4" shapeId="3078" r:id="rId14">
          <objectPr defaultSize="0" autoPict="0" r:id="rId15">
            <anchor moveWithCells="1" sizeWithCells="1">
              <from>
                <xdr:col>0</xdr:col>
                <xdr:colOff>274320</xdr:colOff>
                <xdr:row>19</xdr:row>
                <xdr:rowOff>99060</xdr:rowOff>
              </from>
              <to>
                <xdr:col>1</xdr:col>
                <xdr:colOff>662940</xdr:colOff>
                <xdr:row>20</xdr:row>
                <xdr:rowOff>167640</xdr:rowOff>
              </to>
            </anchor>
          </objectPr>
        </oleObject>
      </mc:Choice>
      <mc:Fallback>
        <oleObject progId="Equation.DSMT4" shapeId="3078" r:id="rId14"/>
      </mc:Fallback>
    </mc:AlternateContent>
    <mc:AlternateContent xmlns:mc="http://schemas.openxmlformats.org/markup-compatibility/2006">
      <mc:Choice Requires="x14">
        <oleObject progId="Equation.DSMT4" shapeId="3079" r:id="rId16">
          <objectPr defaultSize="0" autoPict="0" r:id="rId17">
            <anchor moveWithCells="1" sizeWithCells="1">
              <from>
                <xdr:col>0</xdr:col>
                <xdr:colOff>297180</xdr:colOff>
                <xdr:row>21</xdr:row>
                <xdr:rowOff>0</xdr:rowOff>
              </from>
              <to>
                <xdr:col>1</xdr:col>
                <xdr:colOff>662940</xdr:colOff>
                <xdr:row>23</xdr:row>
                <xdr:rowOff>114300</xdr:rowOff>
              </to>
            </anchor>
          </objectPr>
        </oleObject>
      </mc:Choice>
      <mc:Fallback>
        <oleObject progId="Equation.DSMT4" shapeId="3079" r:id="rId16"/>
      </mc:Fallback>
    </mc:AlternateContent>
    <mc:AlternateContent xmlns:mc="http://schemas.openxmlformats.org/markup-compatibility/2006">
      <mc:Choice Requires="x14">
        <oleObject progId="Equation.DSMT4" shapeId="3080" r:id="rId18">
          <objectPr defaultSize="0" autoPict="0" r:id="rId19">
            <anchor moveWithCells="1" sizeWithCells="1">
              <from>
                <xdr:col>0</xdr:col>
                <xdr:colOff>274320</xdr:colOff>
                <xdr:row>23</xdr:row>
                <xdr:rowOff>160020</xdr:rowOff>
              </from>
              <to>
                <xdr:col>3</xdr:col>
                <xdr:colOff>68580</xdr:colOff>
                <xdr:row>26</xdr:row>
                <xdr:rowOff>91440</xdr:rowOff>
              </to>
            </anchor>
          </objectPr>
        </oleObject>
      </mc:Choice>
      <mc:Fallback>
        <oleObject progId="Equation.DSMT4" shapeId="3080" r:id="rId18"/>
      </mc:Fallback>
    </mc:AlternateContent>
    <mc:AlternateContent xmlns:mc="http://schemas.openxmlformats.org/markup-compatibility/2006">
      <mc:Choice Requires="x14">
        <oleObject progId="Equation.DSMT4" shapeId="3081" r:id="rId20">
          <objectPr defaultSize="0" autoPict="0" r:id="rId19">
            <anchor moveWithCells="1" sizeWithCells="1">
              <from>
                <xdr:col>0</xdr:col>
                <xdr:colOff>381000</xdr:colOff>
                <xdr:row>27</xdr:row>
                <xdr:rowOff>121920</xdr:rowOff>
              </from>
              <to>
                <xdr:col>3</xdr:col>
                <xdr:colOff>175260</xdr:colOff>
                <xdr:row>30</xdr:row>
                <xdr:rowOff>53340</xdr:rowOff>
              </to>
            </anchor>
          </objectPr>
        </oleObject>
      </mc:Choice>
      <mc:Fallback>
        <oleObject progId="Equation.DSMT4" shapeId="3081" r:id="rId2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3A8A-56EF-4D13-BBDD-BD846EC693D6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calculs melanges (GU-GUS)</vt:lpstr>
      <vt:lpstr>calculs melanges (general)</vt:lpstr>
      <vt:lpstr>calculs melanges (general)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Belem, Tikou</dc:creator>
  <cp:lastModifiedBy>Belem, Tikou</cp:lastModifiedBy>
  <dcterms:created xsi:type="dcterms:W3CDTF">2023-04-07T14:53:18Z</dcterms:created>
  <dcterms:modified xsi:type="dcterms:W3CDTF">2024-05-05T23:04:53Z</dcterms:modified>
</cp:coreProperties>
</file>