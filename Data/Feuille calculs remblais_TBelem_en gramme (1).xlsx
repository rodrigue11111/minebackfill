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emt\Desktop\Evaluation 2011-2016 (1er 5 ans)\Cours GNM1002\"/>
    </mc:Choice>
  </mc:AlternateContent>
  <xr:revisionPtr revIDLastSave="0" documentId="13_ncr:1_{4F15EA78-6F4E-4CEA-9D11-8E8A30E36980}" xr6:coauthVersionLast="31" xr6:coauthVersionMax="31" xr10:uidLastSave="{00000000-0000-0000-0000-000000000000}"/>
  <bookViews>
    <workbookView xWindow="0" yWindow="0" windowWidth="16392" windowHeight="5520" xr2:uid="{032F05CD-50EB-40BD-B517-EFDE765404BC}"/>
  </bookViews>
  <sheets>
    <sheet name="Calculs ingredients (en gr)" sheetId="1" r:id="rId1"/>
    <sheet name="Synthese calculs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2" l="1"/>
  <c r="C27" i="2"/>
  <c r="C26" i="2"/>
  <c r="C25" i="2"/>
  <c r="C24" i="2"/>
  <c r="C23" i="2"/>
  <c r="C17" i="2"/>
  <c r="C16" i="2" l="1"/>
  <c r="C15" i="2"/>
  <c r="C14" i="2"/>
  <c r="C13" i="2"/>
  <c r="C12" i="2"/>
  <c r="D6" i="2"/>
  <c r="D5" i="2"/>
  <c r="D76" i="1" l="1"/>
  <c r="D21" i="2"/>
  <c r="D20" i="2"/>
  <c r="D19" i="2"/>
  <c r="D18" i="2"/>
  <c r="B35" i="2"/>
  <c r="B34" i="2"/>
  <c r="B33" i="2"/>
  <c r="B32" i="2"/>
  <c r="B31" i="2"/>
  <c r="B30" i="2"/>
  <c r="B23" i="2"/>
  <c r="B22" i="2"/>
  <c r="B21" i="2"/>
  <c r="B20" i="2"/>
  <c r="B19" i="2"/>
  <c r="B18" i="2"/>
  <c r="B12" i="2"/>
  <c r="B11" i="2"/>
  <c r="B10" i="2"/>
  <c r="B9" i="2"/>
  <c r="D8" i="2"/>
  <c r="B8" i="2"/>
  <c r="G5" i="2"/>
  <c r="F5" i="2"/>
  <c r="D3" i="2"/>
  <c r="D2" i="2"/>
  <c r="B6" i="2"/>
  <c r="B5" i="2"/>
  <c r="B4" i="2"/>
  <c r="B3" i="2"/>
  <c r="B2" i="2"/>
  <c r="D38" i="1"/>
  <c r="D37" i="1"/>
  <c r="D19" i="1"/>
  <c r="C10" i="1"/>
  <c r="D77" i="1"/>
  <c r="C71" i="1"/>
  <c r="C70" i="1"/>
  <c r="C69" i="1"/>
  <c r="C68" i="1"/>
  <c r="C67" i="1"/>
  <c r="C66" i="1"/>
  <c r="D62" i="1"/>
  <c r="C56" i="1"/>
  <c r="C55" i="1"/>
  <c r="C54" i="1"/>
  <c r="C53" i="1"/>
  <c r="C52" i="1"/>
  <c r="C51" i="1"/>
  <c r="D47" i="1"/>
  <c r="D35" i="1"/>
  <c r="D34" i="1"/>
  <c r="C12" i="1"/>
  <c r="D36" i="1" l="1"/>
  <c r="D60" i="1"/>
  <c r="D64" i="1" l="1"/>
  <c r="D65" i="1"/>
  <c r="D22" i="2" s="1"/>
  <c r="D61" i="1"/>
  <c r="D39" i="1"/>
  <c r="D70" i="1" l="1"/>
  <c r="D27" i="2" s="1"/>
  <c r="D66" i="1"/>
  <c r="D23" i="2" s="1"/>
  <c r="D71" i="1"/>
  <c r="D28" i="2" s="1"/>
  <c r="D67" i="1"/>
  <c r="D24" i="2" s="1"/>
  <c r="D68" i="1"/>
  <c r="D25" i="2" s="1"/>
  <c r="D69" i="1"/>
  <c r="D26" i="2" s="1"/>
  <c r="D63" i="1"/>
  <c r="D86" i="1" s="1"/>
  <c r="D88" i="1" s="1"/>
  <c r="D44" i="1"/>
  <c r="D42" i="1"/>
  <c r="D41" i="1"/>
  <c r="D40" i="1"/>
  <c r="D85" i="1" l="1"/>
  <c r="D83" i="1"/>
  <c r="D48" i="1"/>
  <c r="D9" i="2" s="1"/>
  <c r="D25" i="1"/>
  <c r="D84" i="1"/>
  <c r="D24" i="1"/>
  <c r="D49" i="1"/>
  <c r="D10" i="2" s="1"/>
  <c r="D43" i="1"/>
  <c r="D26" i="1" s="1"/>
  <c r="D45" i="1"/>
  <c r="D50" i="1" s="1"/>
  <c r="D11" i="2" s="1"/>
  <c r="D46" i="1" l="1"/>
  <c r="D82" i="1"/>
  <c r="D78" i="1"/>
  <c r="D53" i="1"/>
  <c r="D14" i="2" s="1"/>
  <c r="D89" i="1"/>
  <c r="D54" i="1"/>
  <c r="D15" i="2" s="1"/>
  <c r="D55" i="1"/>
  <c r="D16" i="2" s="1"/>
  <c r="D51" i="1"/>
  <c r="D12" i="2" s="1"/>
  <c r="D52" i="1"/>
  <c r="D13" i="2" s="1"/>
  <c r="D56" i="1"/>
  <c r="D17" i="2" s="1"/>
  <c r="D79" i="1"/>
  <c r="D81" i="1" l="1"/>
  <c r="D80" i="1" s="1"/>
  <c r="D87" i="1"/>
  <c r="D95" i="1"/>
  <c r="D90" i="1"/>
  <c r="D93" i="1" l="1"/>
  <c r="D96" i="1"/>
  <c r="D91" i="1" l="1"/>
  <c r="D92" i="1" s="1"/>
  <c r="D94" i="1"/>
</calcChain>
</file>

<file path=xl/sharedStrings.xml><?xml version="1.0" encoding="utf-8"?>
<sst xmlns="http://schemas.openxmlformats.org/spreadsheetml/2006/main" count="104" uniqueCount="102">
  <si>
    <r>
      <rPr>
        <b/>
        <sz val="11"/>
        <color rgb="FFC00000"/>
        <rFont val="Symbol"/>
        <family val="1"/>
        <charset val="2"/>
      </rPr>
      <t>ã</t>
    </r>
    <r>
      <rPr>
        <b/>
        <sz val="11"/>
        <color rgb="FFC00000"/>
        <rFont val="Calibri"/>
        <family val="2"/>
      </rPr>
      <t xml:space="preserve"> Tikou Belem (2016)</t>
    </r>
  </si>
  <si>
    <t># Projet</t>
  </si>
  <si>
    <t xml:space="preserve">note: </t>
  </si>
  <si>
    <r>
      <t xml:space="preserve">texte noir, case mauve: </t>
    </r>
    <r>
      <rPr>
        <b/>
        <i/>
        <sz val="11"/>
        <color theme="1"/>
        <rFont val="Calibri"/>
        <family val="2"/>
        <scheme val="minor"/>
      </rPr>
      <t>à remplir par l'opérateur</t>
    </r>
  </si>
  <si>
    <t>Opérateur</t>
  </si>
  <si>
    <r>
      <t xml:space="preserve">Texte rouge, case brune: </t>
    </r>
    <r>
      <rPr>
        <b/>
        <i/>
        <sz val="11"/>
        <color theme="1"/>
        <rFont val="Calibri"/>
        <family val="2"/>
        <scheme val="minor"/>
      </rPr>
      <t>peut être modifié par l'opérateur au besoin</t>
    </r>
  </si>
  <si>
    <t>Date</t>
  </si>
  <si>
    <t>Toutes les autres cases ne doivemt pas être modifiées (formules de calculs)</t>
  </si>
  <si>
    <t>Laboratoire</t>
  </si>
  <si>
    <t>Résidus</t>
  </si>
  <si>
    <t>Granulats</t>
  </si>
  <si>
    <t>Gs résidus</t>
  </si>
  <si>
    <t>Gs granulat</t>
  </si>
  <si>
    <t>teneur en eau</t>
  </si>
  <si>
    <t>tare</t>
  </si>
  <si>
    <t>tare + mh</t>
  </si>
  <si>
    <t>tare + ms</t>
  </si>
  <si>
    <t>*obtenue généralement à 50°C après 48h ou à 105°C après 24h</t>
  </si>
  <si>
    <t>Recette 1</t>
  </si>
  <si>
    <t># Batch LABO</t>
  </si>
  <si>
    <t>diam. moule (pouce)</t>
  </si>
  <si>
    <t>hauteur du moule (pouce)</t>
  </si>
  <si>
    <t>nb. moules</t>
  </si>
  <si>
    <t>% solide initial visé Cw% remblai</t>
  </si>
  <si>
    <t>Proportion massique de liant (%)</t>
  </si>
  <si>
    <t>%massique</t>
  </si>
  <si>
    <t>%m granulat p/r résidus secs (%)</t>
  </si>
  <si>
    <t>%volumique</t>
  </si>
  <si>
    <t>%vol. granulat p/r résidus secs (%)</t>
  </si>
  <si>
    <t>%vol. granulat p/r remblai (%)</t>
  </si>
  <si>
    <t>Eau/Liant initial ou W/C initial</t>
  </si>
  <si>
    <t>Chaux</t>
  </si>
  <si>
    <t>Gs résidus + granulat (gr/cc)</t>
  </si>
  <si>
    <t>Gs-liant composé (gr/cc)</t>
  </si>
  <si>
    <t>Gs pâte (résidus+granulat+liant)</t>
  </si>
  <si>
    <t>Volume contenant  (cm³)</t>
  </si>
  <si>
    <t>Masse solide calc. Md (gr)</t>
  </si>
  <si>
    <t>Sr (%)</t>
  </si>
  <si>
    <t>Degré de saturation initial (%)</t>
  </si>
  <si>
    <t>Masse sèche résidus Ms-t (gr)</t>
  </si>
  <si>
    <t>Masse sèche granulat Ms-g (gr)</t>
  </si>
  <si>
    <t>masse totale liant Mb (gr)</t>
  </si>
  <si>
    <t>masse totale eau Mw (gr)</t>
  </si>
  <si>
    <t>Masse eau résidus (gr)</t>
  </si>
  <si>
    <t>masse remblai en pâte (gr)</t>
  </si>
  <si>
    <t>#Batch</t>
  </si>
  <si>
    <t>Masse de granulat sec (gr)</t>
  </si>
  <si>
    <t>Masse résidus humides (gr)</t>
  </si>
  <si>
    <t>masse eau à ajouter (gr)</t>
  </si>
  <si>
    <t>Masse liants (gr)</t>
  </si>
  <si>
    <t>Ajout au cours du mélange</t>
  </si>
  <si>
    <t>Masse/volume eau  ajoutée (gr)</t>
  </si>
  <si>
    <t>Masse de granulat ajouté (gr)</t>
  </si>
  <si>
    <t xml:space="preserve">M résidus humides ajoutés (gr) </t>
  </si>
  <si>
    <t>M résidus secs ajoutés corresp. (gr)</t>
  </si>
  <si>
    <t>Masse liant à ajouter - ajuster (gr)</t>
  </si>
  <si>
    <t>slump mesuré (mm)</t>
  </si>
  <si>
    <t>tare (gr)</t>
  </si>
  <si>
    <t>m_humide pâte (gr)</t>
  </si>
  <si>
    <t>m_sèche pâte (gr)</t>
  </si>
  <si>
    <t>paramètres géotechniques</t>
  </si>
  <si>
    <t>teneur eau mesurée w(%)</t>
  </si>
  <si>
    <t>% solide massique mesuré Cw(%)</t>
  </si>
  <si>
    <t>eau/liant final ou W/C final</t>
  </si>
  <si>
    <t>teneur eau mass. calculée (%)</t>
  </si>
  <si>
    <t>% solide massique pâte Cw (%)</t>
  </si>
  <si>
    <t>% solide volumique pâte Cv (%)</t>
  </si>
  <si>
    <t>%m granulat p/r résidus final(%)</t>
  </si>
  <si>
    <t>%vol. granulat p/r résidus final (%)</t>
  </si>
  <si>
    <t>%vol. granulat p/r remblai final(%)</t>
  </si>
  <si>
    <t>indice des vides final, e0</t>
  </si>
  <si>
    <t>degré de saturation final Sr (%)</t>
  </si>
  <si>
    <t>porosité finale, n0</t>
  </si>
  <si>
    <t>%liant massique final Bw</t>
  </si>
  <si>
    <t>%liant volumique final Bv</t>
  </si>
  <si>
    <t>γh remblai final (kN/m³)</t>
  </si>
  <si>
    <t>γd remblai final (kN/m³)</t>
  </si>
  <si>
    <t>γs remblai final (kN/m³)</t>
  </si>
  <si>
    <t>ajustement</t>
  </si>
  <si>
    <r>
      <t>le pourcentage solide massique initial du mélange (C</t>
    </r>
    <r>
      <rPr>
        <b/>
        <vertAlign val="subscript"/>
        <sz val="16"/>
        <color rgb="FF0070C0"/>
        <rFont val="Arial Narrow"/>
        <family val="2"/>
      </rPr>
      <t>w%</t>
    </r>
    <r>
      <rPr>
        <b/>
        <sz val="16"/>
        <color rgb="FF0070C0"/>
        <rFont val="Arial Narrow"/>
        <family val="2"/>
      </rPr>
      <t>)</t>
    </r>
  </si>
  <si>
    <r>
      <t xml:space="preserve">Feuille de calcul des mélanges de </t>
    </r>
    <r>
      <rPr>
        <b/>
        <sz val="16"/>
        <color rgb="FF7030A0"/>
        <rFont val="Arial Narrow"/>
        <family val="2"/>
      </rPr>
      <t>remblai en pâte cimenté (RPC)</t>
    </r>
    <r>
      <rPr>
        <b/>
        <sz val="16"/>
        <color rgb="FF0070C0"/>
        <rFont val="Arial Narrow"/>
        <family val="2"/>
      </rPr>
      <t xml:space="preserve"> </t>
    </r>
    <r>
      <rPr>
        <b/>
        <sz val="16"/>
        <color rgb="FFC00000"/>
        <rFont val="Arial Narrow"/>
        <family val="2"/>
      </rPr>
      <t>+ granulat conscassé</t>
    </r>
    <r>
      <rPr>
        <b/>
        <sz val="16"/>
        <color rgb="FF0070C0"/>
        <rFont val="Arial Narrow"/>
        <family val="2"/>
      </rPr>
      <t xml:space="preserve"> (RPCg) au laboratoire en fixant</t>
    </r>
  </si>
  <si>
    <t>Granulat considéré comme substitut aux résidus (en proportion massique ou volumique)</t>
  </si>
  <si>
    <r>
      <t>Pour un mélange à</t>
    </r>
    <r>
      <rPr>
        <i/>
        <u/>
        <sz val="11"/>
        <color rgb="FF7030A0"/>
        <rFont val="Calibri"/>
        <family val="2"/>
        <scheme val="minor"/>
      </rPr>
      <t xml:space="preserve"> slump constant</t>
    </r>
    <r>
      <rPr>
        <i/>
        <sz val="11"/>
        <color rgb="FF7030A0"/>
        <rFont val="Calibri"/>
        <family val="2"/>
        <scheme val="minor"/>
      </rPr>
      <t xml:space="preserve">, il est conseillé de partir d'un %solide de 80% (ou autre)  </t>
    </r>
  </si>
  <si>
    <t>puis d'ajuster les mélanges en jouant avec l'ajout des ingrédients (selon les résidus et/ou granulats)</t>
  </si>
  <si>
    <t>Westwood</t>
  </si>
  <si>
    <t>Calcul pour teneur en eau massique</t>
  </si>
  <si>
    <r>
      <t xml:space="preserve">(T10) </t>
    </r>
    <r>
      <rPr>
        <b/>
        <sz val="10"/>
        <color rgb="FF002060"/>
        <rFont val="Calibri"/>
        <family val="2"/>
        <scheme val="minor"/>
      </rPr>
      <t>GU</t>
    </r>
  </si>
  <si>
    <r>
      <t xml:space="preserve">(T50) </t>
    </r>
    <r>
      <rPr>
        <b/>
        <sz val="10"/>
        <color rgb="FF002060"/>
        <rFont val="Calibri"/>
        <family val="2"/>
        <scheme val="minor"/>
      </rPr>
      <t>HS</t>
    </r>
  </si>
  <si>
    <r>
      <t xml:space="preserve">(T30) </t>
    </r>
    <r>
      <rPr>
        <b/>
        <sz val="10"/>
        <color rgb="FF002060"/>
        <rFont val="Calibri"/>
        <family val="2"/>
        <scheme val="minor"/>
      </rPr>
      <t>HE</t>
    </r>
  </si>
  <si>
    <r>
      <rPr>
        <b/>
        <sz val="10"/>
        <color rgb="FF002060"/>
        <rFont val="Calibri"/>
        <family val="2"/>
        <scheme val="minor"/>
      </rPr>
      <t>Slag</t>
    </r>
    <r>
      <rPr>
        <sz val="10"/>
        <color rgb="FF002060"/>
        <rFont val="Calibri"/>
        <family val="2"/>
        <scheme val="minor"/>
      </rPr>
      <t xml:space="preserve"> (GGBFS)</t>
    </r>
  </si>
  <si>
    <r>
      <rPr>
        <b/>
        <sz val="10"/>
        <color rgb="FF002060"/>
        <rFont val="Calibri"/>
        <family val="2"/>
        <scheme val="minor"/>
      </rPr>
      <t>FA</t>
    </r>
    <r>
      <rPr>
        <sz val="10"/>
        <color rgb="FF002060"/>
        <rFont val="Calibri"/>
        <family val="2"/>
        <scheme val="minor"/>
      </rPr>
      <t xml:space="preserve"> (types C, F)</t>
    </r>
  </si>
  <si>
    <t>Facteur de sécurité (%)</t>
  </si>
  <si>
    <r>
      <t xml:space="preserve">volume </t>
    </r>
    <r>
      <rPr>
        <b/>
        <i/>
        <sz val="8"/>
        <rFont val="Calibri"/>
        <family val="2"/>
        <scheme val="minor"/>
      </rPr>
      <t>résidus</t>
    </r>
    <r>
      <rPr>
        <i/>
        <sz val="8"/>
        <rFont val="Calibri"/>
        <family val="2"/>
        <scheme val="minor"/>
      </rPr>
      <t xml:space="preserve"> corresp. (cm^3)</t>
    </r>
  </si>
  <si>
    <r>
      <t xml:space="preserve">volume </t>
    </r>
    <r>
      <rPr>
        <b/>
        <i/>
        <sz val="8"/>
        <rFont val="Calibri"/>
        <family val="2"/>
        <scheme val="minor"/>
      </rPr>
      <t>granulat</t>
    </r>
    <r>
      <rPr>
        <i/>
        <sz val="8"/>
        <rFont val="Calibri"/>
        <family val="2"/>
        <scheme val="minor"/>
      </rPr>
      <t xml:space="preserve"> corresp. (cm^3)</t>
    </r>
  </si>
  <si>
    <r>
      <t xml:space="preserve">volume de </t>
    </r>
    <r>
      <rPr>
        <b/>
        <i/>
        <sz val="8"/>
        <rFont val="Calibri"/>
        <family val="2"/>
        <scheme val="minor"/>
      </rPr>
      <t>liant</t>
    </r>
    <r>
      <rPr>
        <i/>
        <sz val="8"/>
        <rFont val="Calibri"/>
        <family val="2"/>
        <scheme val="minor"/>
      </rPr>
      <t xml:space="preserve"> corresp. (cm^3)</t>
    </r>
  </si>
  <si>
    <r>
      <t xml:space="preserve">masse/volume </t>
    </r>
    <r>
      <rPr>
        <b/>
        <i/>
        <sz val="8"/>
        <rFont val="Calibri"/>
        <family val="2"/>
        <scheme val="minor"/>
      </rPr>
      <t>eau</t>
    </r>
    <r>
      <rPr>
        <i/>
        <sz val="8"/>
        <rFont val="Calibri"/>
        <family val="2"/>
        <scheme val="minor"/>
      </rPr>
      <t xml:space="preserve"> corresp. (cm^3)</t>
    </r>
  </si>
  <si>
    <r>
      <t xml:space="preserve">teneur eau vol. calculée, </t>
    </r>
    <r>
      <rPr>
        <i/>
        <sz val="9"/>
        <rFont val="Symbol"/>
        <family val="1"/>
        <charset val="2"/>
      </rPr>
      <t>q</t>
    </r>
  </si>
  <si>
    <r>
      <rPr>
        <i/>
        <sz val="9"/>
        <rFont val="Calibri"/>
        <family val="2"/>
      </rPr>
      <t>ρh remblai final</t>
    </r>
    <r>
      <rPr>
        <i/>
        <sz val="9"/>
        <rFont val="Calibri"/>
        <family val="2"/>
        <scheme val="minor"/>
      </rPr>
      <t xml:space="preserve"> (t/m³)</t>
    </r>
  </si>
  <si>
    <r>
      <rPr>
        <i/>
        <sz val="9"/>
        <rFont val="Calibri"/>
        <family val="2"/>
      </rPr>
      <t xml:space="preserve">ρd </t>
    </r>
    <r>
      <rPr>
        <i/>
        <sz val="9"/>
        <rFont val="Calibri"/>
        <family val="2"/>
        <scheme val="minor"/>
      </rPr>
      <t xml:space="preserve"> remblai final (t/m³)</t>
    </r>
  </si>
  <si>
    <r>
      <rPr>
        <i/>
        <sz val="9"/>
        <rFont val="Calibri"/>
        <family val="2"/>
      </rPr>
      <t xml:space="preserve">ρs </t>
    </r>
    <r>
      <rPr>
        <i/>
        <sz val="9"/>
        <rFont val="Calibri"/>
        <family val="2"/>
        <scheme val="minor"/>
      </rPr>
      <t>remblai final (t/m³)</t>
    </r>
  </si>
  <si>
    <t>Cw% résidus</t>
  </si>
  <si>
    <r>
      <t>Volume total pâte V</t>
    </r>
    <r>
      <rPr>
        <i/>
        <vertAlign val="subscript"/>
        <sz val="9"/>
        <rFont val="Calibri"/>
        <family val="2"/>
        <scheme val="minor"/>
      </rPr>
      <t>T</t>
    </r>
    <r>
      <rPr>
        <i/>
        <sz val="9"/>
        <rFont val="Calibri"/>
        <family val="2"/>
        <scheme val="minor"/>
      </rPr>
      <t xml:space="preserve"> (cm³)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</si>
</sst>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0.000"/>
    <numFmt numFmtId="165" formatCode="0.0%"/>
    <numFmt numFmtId="166" formatCode="0.0"/>
    <numFmt numFmtId="167" formatCode="_ * #,##0.00_ \ [$$-C0C]_ ;_ * \-#,##0.00\ \ [$$-C0C]_ ;_ * &quot;-&quot;??_ \ [$$-C0C]_ ;_ @_ "/>
    <numFmt numFmtId="168" formatCode="0.0000"/>
  </numFmts>
  <fonts count="6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rgb="FF0070C0"/>
      <name val="Arial Narrow"/>
      <family val="2"/>
    </font>
    <font>
      <b/>
      <sz val="16"/>
      <color rgb="FFC00000"/>
      <name val="Arial Narrow"/>
      <family val="2"/>
    </font>
    <font>
      <b/>
      <sz val="10"/>
      <name val="Arial Black"/>
      <family val="2"/>
    </font>
    <font>
      <b/>
      <vertAlign val="subscript"/>
      <sz val="16"/>
      <color rgb="FF0070C0"/>
      <name val="Arial Narrow"/>
      <family val="2"/>
    </font>
    <font>
      <b/>
      <sz val="11"/>
      <color rgb="FFC00000"/>
      <name val="Calibri"/>
      <family val="2"/>
    </font>
    <font>
      <b/>
      <sz val="11"/>
      <color rgb="FFC00000"/>
      <name val="Symbol"/>
      <family val="1"/>
      <charset val="2"/>
    </font>
    <font>
      <b/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0"/>
      <color theme="1"/>
      <name val="Arial"/>
      <family val="2"/>
    </font>
    <font>
      <i/>
      <sz val="9"/>
      <color rgb="FFC0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color rgb="FF003580"/>
      <name val="Arial"/>
      <family val="2"/>
    </font>
    <font>
      <sz val="10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rgb="FF7030A0"/>
      <name val="Arial Narrow"/>
      <family val="2"/>
    </font>
    <font>
      <i/>
      <sz val="11"/>
      <color rgb="FF7030A0"/>
      <name val="Calibri"/>
      <family val="2"/>
      <scheme val="minor"/>
    </font>
    <font>
      <i/>
      <u/>
      <sz val="11"/>
      <color rgb="FF7030A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C00000"/>
      <name val="Calibri"/>
      <family val="2"/>
      <scheme val="minor"/>
    </font>
    <font>
      <i/>
      <sz val="10"/>
      <color theme="0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16"/>
      <color rgb="FF7030A0"/>
      <name val="Calibri"/>
      <family val="2"/>
      <scheme val="minor"/>
    </font>
    <font>
      <sz val="9"/>
      <color rgb="FFC00000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9"/>
      <color theme="1"/>
      <name val="Calibri"/>
      <family val="2"/>
    </font>
    <font>
      <i/>
      <sz val="9"/>
      <name val="Symbol"/>
      <family val="1"/>
      <charset val="2"/>
    </font>
    <font>
      <i/>
      <sz val="9"/>
      <color theme="0"/>
      <name val="Calibri"/>
      <family val="2"/>
      <scheme val="minor"/>
    </font>
    <font>
      <i/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rgb="FF002060"/>
      <name val="Calibri"/>
      <family val="2"/>
      <scheme val="minor"/>
    </font>
    <font>
      <i/>
      <vertAlign val="subscript"/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/>
    <xf numFmtId="0" fontId="7" fillId="0" borderId="0" xfId="0" applyFont="1"/>
    <xf numFmtId="0" fontId="9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2" fillId="3" borderId="1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ont="1"/>
    <xf numFmtId="0" fontId="13" fillId="3" borderId="7" xfId="0" applyFont="1" applyFill="1" applyBorder="1"/>
    <xf numFmtId="0" fontId="14" fillId="0" borderId="8" xfId="0" applyFont="1" applyBorder="1" applyAlignment="1">
      <alignment horizontal="right"/>
    </xf>
    <xf numFmtId="164" fontId="2" fillId="3" borderId="10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165" fontId="14" fillId="0" borderId="14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0" fontId="10" fillId="0" borderId="9" xfId="0" applyFont="1" applyBorder="1" applyAlignment="1">
      <alignment horizontal="center" vertical="center"/>
    </xf>
    <xf numFmtId="166" fontId="16" fillId="3" borderId="9" xfId="0" applyNumberFormat="1" applyFont="1" applyFill="1" applyBorder="1" applyAlignment="1">
      <alignment horizontal="center"/>
    </xf>
    <xf numFmtId="0" fontId="17" fillId="0" borderId="0" xfId="0" applyFont="1"/>
    <xf numFmtId="0" fontId="10" fillId="0" borderId="2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0" fontId="9" fillId="3" borderId="2" xfId="0" applyNumberFormat="1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67" fontId="2" fillId="0" borderId="0" xfId="0" applyNumberFormat="1" applyFont="1" applyFill="1" applyBorder="1" applyAlignment="1">
      <alignment horizontal="center" vertical="center"/>
    </xf>
    <xf numFmtId="0" fontId="21" fillId="0" borderId="0" xfId="0" applyFont="1" applyBorder="1"/>
    <xf numFmtId="0" fontId="22" fillId="0" borderId="0" xfId="0" applyFont="1"/>
    <xf numFmtId="164" fontId="14" fillId="0" borderId="0" xfId="0" applyNumberFormat="1" applyFont="1" applyFill="1" applyBorder="1" applyAlignment="1">
      <alignment horizontal="center" vertical="center"/>
    </xf>
    <xf numFmtId="10" fontId="23" fillId="0" borderId="2" xfId="0" applyNumberFormat="1" applyFont="1" applyFill="1" applyBorder="1" applyAlignment="1">
      <alignment horizontal="right" vertical="center"/>
    </xf>
    <xf numFmtId="164" fontId="24" fillId="0" borderId="0" xfId="0" applyNumberFormat="1" applyFont="1" applyFill="1" applyBorder="1" applyAlignment="1">
      <alignment horizontal="center" vertical="center"/>
    </xf>
    <xf numFmtId="164" fontId="24" fillId="0" borderId="0" xfId="0" applyNumberFormat="1" applyFont="1" applyFill="1" applyBorder="1" applyAlignment="1">
      <alignment horizontal="right" vertical="center"/>
    </xf>
    <xf numFmtId="2" fontId="25" fillId="0" borderId="15" xfId="0" applyNumberFormat="1" applyFont="1" applyFill="1" applyBorder="1" applyAlignment="1">
      <alignment horizontal="right" vertical="center"/>
    </xf>
    <xf numFmtId="9" fontId="9" fillId="3" borderId="2" xfId="0" applyNumberFormat="1" applyFont="1" applyFill="1" applyBorder="1" applyAlignment="1">
      <alignment horizontal="right" vertical="center"/>
    </xf>
    <xf numFmtId="9" fontId="26" fillId="0" borderId="0" xfId="0" applyNumberFormat="1" applyFont="1" applyFill="1" applyBorder="1" applyAlignment="1">
      <alignment horizontal="center" vertical="center"/>
    </xf>
    <xf numFmtId="164" fontId="26" fillId="0" borderId="0" xfId="0" applyNumberFormat="1" applyFont="1" applyFill="1" applyBorder="1" applyAlignment="1">
      <alignment horizontal="right" vertical="center"/>
    </xf>
    <xf numFmtId="0" fontId="26" fillId="0" borderId="0" xfId="0" applyNumberFormat="1" applyFont="1" applyFill="1" applyBorder="1" applyAlignment="1">
      <alignment horizontal="center" vertical="center"/>
    </xf>
    <xf numFmtId="9" fontId="9" fillId="3" borderId="15" xfId="0" applyNumberFormat="1" applyFont="1" applyFill="1" applyBorder="1" applyAlignment="1">
      <alignment horizontal="right" vertical="center"/>
    </xf>
    <xf numFmtId="9" fontId="2" fillId="0" borderId="0" xfId="0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2" fontId="12" fillId="0" borderId="15" xfId="0" applyNumberFormat="1" applyFont="1" applyFill="1" applyBorder="1" applyAlignment="1">
      <alignment horizontal="right"/>
    </xf>
    <xf numFmtId="0" fontId="2" fillId="0" borderId="0" xfId="0" applyFont="1" applyFill="1" applyBorder="1"/>
    <xf numFmtId="2" fontId="24" fillId="0" borderId="0" xfId="0" applyNumberFormat="1" applyFont="1" applyFill="1" applyBorder="1" applyAlignment="1">
      <alignment horizontal="center"/>
    </xf>
    <xf numFmtId="2" fontId="12" fillId="0" borderId="2" xfId="0" applyNumberFormat="1" applyFont="1" applyFill="1" applyBorder="1" applyAlignment="1">
      <alignment horizontal="right"/>
    </xf>
    <xf numFmtId="2" fontId="0" fillId="0" borderId="0" xfId="0" applyNumberFormat="1" applyFont="1"/>
    <xf numFmtId="166" fontId="24" fillId="0" borderId="0" xfId="0" applyNumberFormat="1" applyFont="1" applyFill="1" applyBorder="1" applyAlignment="1">
      <alignment horizontal="center" vertical="center"/>
    </xf>
    <xf numFmtId="2" fontId="24" fillId="0" borderId="0" xfId="0" applyNumberFormat="1" applyFont="1" applyFill="1" applyBorder="1" applyAlignment="1">
      <alignment horizontal="center" vertical="center"/>
    </xf>
    <xf numFmtId="166" fontId="27" fillId="0" borderId="0" xfId="0" applyNumberFormat="1" applyFont="1" applyFill="1" applyBorder="1" applyAlignment="1">
      <alignment horizontal="center" vertical="center"/>
    </xf>
    <xf numFmtId="166" fontId="24" fillId="0" borderId="0" xfId="0" applyNumberFormat="1" applyFont="1" applyFill="1" applyBorder="1" applyAlignment="1">
      <alignment horizontal="left" vertical="center"/>
    </xf>
    <xf numFmtId="2" fontId="27" fillId="0" borderId="0" xfId="0" applyNumberFormat="1" applyFont="1" applyFill="1" applyBorder="1" applyAlignment="1">
      <alignment horizontal="center"/>
    </xf>
    <xf numFmtId="2" fontId="28" fillId="7" borderId="0" xfId="0" applyNumberFormat="1" applyFont="1" applyFill="1" applyAlignment="1">
      <alignment horizontal="center" vertical="center"/>
    </xf>
    <xf numFmtId="165" fontId="12" fillId="0" borderId="2" xfId="2" applyNumberFormat="1" applyFont="1" applyFill="1" applyBorder="1" applyAlignment="1">
      <alignment horizontal="right"/>
    </xf>
    <xf numFmtId="165" fontId="0" fillId="0" borderId="0" xfId="2" applyNumberFormat="1" applyFont="1" applyFill="1" applyBorder="1" applyAlignment="1">
      <alignment horizontal="center"/>
    </xf>
    <xf numFmtId="2" fontId="27" fillId="0" borderId="0" xfId="2" applyNumberFormat="1" applyFont="1" applyFill="1" applyBorder="1" applyAlignment="1">
      <alignment horizontal="center"/>
    </xf>
    <xf numFmtId="2" fontId="26" fillId="0" borderId="0" xfId="2" applyNumberFormat="1" applyFont="1" applyFill="1" applyBorder="1" applyAlignment="1">
      <alignment horizontal="center"/>
    </xf>
    <xf numFmtId="165" fontId="2" fillId="0" borderId="0" xfId="2" applyNumberFormat="1" applyFont="1" applyFill="1" applyBorder="1" applyAlignment="1">
      <alignment horizontal="center"/>
    </xf>
    <xf numFmtId="166" fontId="12" fillId="0" borderId="2" xfId="0" applyNumberFormat="1" applyFont="1" applyFill="1" applyBorder="1" applyAlignment="1">
      <alignment horizontal="right" vertical="center"/>
    </xf>
    <xf numFmtId="168" fontId="27" fillId="0" borderId="0" xfId="0" applyNumberFormat="1" applyFont="1" applyFill="1" applyBorder="1" applyAlignment="1">
      <alignment horizontal="center" vertical="center"/>
    </xf>
    <xf numFmtId="168" fontId="24" fillId="0" borderId="0" xfId="0" applyNumberFormat="1" applyFont="1" applyFill="1" applyBorder="1" applyAlignment="1">
      <alignment horizontal="center" vertical="center"/>
    </xf>
    <xf numFmtId="2" fontId="29" fillId="0" borderId="0" xfId="2" applyNumberFormat="1" applyFont="1" applyFill="1" applyBorder="1" applyAlignment="1">
      <alignment horizontal="center"/>
    </xf>
    <xf numFmtId="44" fontId="14" fillId="0" borderId="0" xfId="1" applyFont="1" applyFill="1" applyBorder="1" applyAlignment="1">
      <alignment horizontal="center" vertical="center"/>
    </xf>
    <xf numFmtId="166" fontId="14" fillId="0" borderId="0" xfId="0" applyNumberFormat="1" applyFont="1" applyFill="1" applyBorder="1" applyAlignment="1">
      <alignment horizontal="center" vertical="center"/>
    </xf>
    <xf numFmtId="166" fontId="30" fillId="0" borderId="0" xfId="0" applyNumberFormat="1" applyFont="1" applyFill="1" applyBorder="1" applyAlignment="1">
      <alignment horizontal="center" vertical="center"/>
    </xf>
    <xf numFmtId="166" fontId="12" fillId="0" borderId="21" xfId="0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164" fontId="27" fillId="0" borderId="0" xfId="0" applyNumberFormat="1" applyFont="1" applyFill="1" applyBorder="1" applyAlignment="1">
      <alignment horizontal="center" vertical="center"/>
    </xf>
    <xf numFmtId="0" fontId="2" fillId="0" borderId="22" xfId="0" applyFont="1" applyBorder="1"/>
    <xf numFmtId="0" fontId="12" fillId="0" borderId="0" xfId="0" applyNumberFormat="1" applyFont="1" applyFill="1" applyBorder="1" applyAlignment="1">
      <alignment horizontal="center" vertical="center"/>
    </xf>
    <xf numFmtId="0" fontId="31" fillId="0" borderId="0" xfId="0" applyNumberFormat="1" applyFont="1" applyFill="1" applyBorder="1" applyAlignment="1">
      <alignment horizontal="center" vertical="center"/>
    </xf>
    <xf numFmtId="0" fontId="27" fillId="0" borderId="0" xfId="0" applyNumberFormat="1" applyFont="1" applyFill="1" applyBorder="1" applyAlignment="1">
      <alignment horizontal="center" vertical="center"/>
    </xf>
    <xf numFmtId="0" fontId="2" fillId="0" borderId="24" xfId="0" applyFont="1" applyBorder="1"/>
    <xf numFmtId="166" fontId="12" fillId="0" borderId="15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/>
    </xf>
    <xf numFmtId="166" fontId="32" fillId="0" borderId="0" xfId="0" applyNumberFormat="1" applyFont="1" applyFill="1" applyBorder="1" applyAlignment="1">
      <alignment horizontal="center" vertical="center"/>
    </xf>
    <xf numFmtId="0" fontId="25" fillId="0" borderId="0" xfId="0" applyFont="1" applyFill="1" applyBorder="1"/>
    <xf numFmtId="0" fontId="30" fillId="0" borderId="0" xfId="0" applyFont="1" applyFill="1" applyBorder="1"/>
    <xf numFmtId="166" fontId="20" fillId="0" borderId="0" xfId="0" applyNumberFormat="1" applyFont="1" applyFill="1" applyBorder="1" applyAlignment="1">
      <alignment horizontal="center" vertical="center"/>
    </xf>
    <xf numFmtId="0" fontId="2" fillId="0" borderId="25" xfId="0" applyFont="1" applyBorder="1"/>
    <xf numFmtId="166" fontId="12" fillId="0" borderId="19" xfId="0" applyNumberFormat="1" applyFont="1" applyFill="1" applyBorder="1" applyAlignment="1">
      <alignment horizontal="right" vertical="center"/>
    </xf>
    <xf numFmtId="2" fontId="20" fillId="3" borderId="23" xfId="0" applyNumberFormat="1" applyFont="1" applyFill="1" applyBorder="1" applyAlignment="1">
      <alignment horizontal="righ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2" fontId="20" fillId="3" borderId="21" xfId="0" applyNumberFormat="1" applyFont="1" applyFill="1" applyBorder="1" applyAlignment="1">
      <alignment horizontal="right"/>
    </xf>
    <xf numFmtId="0" fontId="0" fillId="0" borderId="0" xfId="0" applyFill="1" applyBorder="1"/>
    <xf numFmtId="2" fontId="20" fillId="3" borderId="19" xfId="2" applyNumberFormat="1" applyFont="1" applyFill="1" applyBorder="1" applyAlignment="1">
      <alignment horizontal="right"/>
    </xf>
    <xf numFmtId="166" fontId="12" fillId="0" borderId="15" xfId="0" applyNumberFormat="1" applyFont="1" applyFill="1" applyBorder="1" applyAlignment="1">
      <alignment horizontal="right"/>
    </xf>
    <xf numFmtId="166" fontId="20" fillId="0" borderId="0" xfId="0" applyNumberFormat="1" applyFont="1" applyFill="1" applyBorder="1" applyAlignment="1">
      <alignment horizontal="center"/>
    </xf>
    <xf numFmtId="166" fontId="12" fillId="0" borderId="21" xfId="0" applyNumberFormat="1" applyFont="1" applyFill="1" applyBorder="1" applyAlignment="1">
      <alignment horizontal="right"/>
    </xf>
    <xf numFmtId="164" fontId="12" fillId="0" borderId="0" xfId="0" applyNumberFormat="1" applyFont="1" applyFill="1" applyBorder="1" applyAlignment="1">
      <alignment horizontal="center" vertical="center"/>
    </xf>
    <xf numFmtId="165" fontId="0" fillId="0" borderId="0" xfId="2" applyNumberFormat="1" applyFont="1" applyFill="1" applyBorder="1"/>
    <xf numFmtId="166" fontId="25" fillId="0" borderId="19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66" fontId="0" fillId="0" borderId="0" xfId="0" applyNumberFormat="1" applyFill="1" applyBorder="1"/>
    <xf numFmtId="165" fontId="26" fillId="0" borderId="0" xfId="2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right"/>
    </xf>
    <xf numFmtId="0" fontId="20" fillId="3" borderId="2" xfId="0" applyFont="1" applyFill="1" applyBorder="1" applyAlignment="1">
      <alignment horizontal="right"/>
    </xf>
    <xf numFmtId="2" fontId="0" fillId="0" borderId="0" xfId="0" applyNumberFormat="1" applyFill="1" applyBorder="1"/>
    <xf numFmtId="2" fontId="0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20" fillId="3" borderId="28" xfId="0" applyFont="1" applyFill="1" applyBorder="1" applyAlignment="1">
      <alignment horizontal="right"/>
    </xf>
    <xf numFmtId="166" fontId="0" fillId="0" borderId="0" xfId="0" applyNumberFormat="1" applyBorder="1"/>
    <xf numFmtId="165" fontId="31" fillId="0" borderId="0" xfId="0" applyNumberFormat="1" applyFont="1" applyFill="1" applyBorder="1"/>
    <xf numFmtId="165" fontId="0" fillId="0" borderId="0" xfId="2" applyNumberFormat="1" applyFont="1"/>
    <xf numFmtId="9" fontId="0" fillId="0" borderId="0" xfId="2" applyFont="1"/>
    <xf numFmtId="165" fontId="12" fillId="0" borderId="15" xfId="0" applyNumberFormat="1" applyFont="1" applyFill="1" applyBorder="1" applyAlignment="1">
      <alignment horizontal="right"/>
    </xf>
    <xf numFmtId="165" fontId="24" fillId="0" borderId="0" xfId="0" applyNumberFormat="1" applyFont="1" applyFill="1" applyBorder="1" applyAlignment="1">
      <alignment horizontal="center"/>
    </xf>
    <xf numFmtId="168" fontId="12" fillId="0" borderId="19" xfId="0" applyNumberFormat="1" applyFont="1" applyFill="1" applyBorder="1" applyAlignment="1">
      <alignment horizontal="right"/>
    </xf>
    <xf numFmtId="2" fontId="0" fillId="0" borderId="0" xfId="0" applyNumberFormat="1"/>
    <xf numFmtId="10" fontId="12" fillId="0" borderId="15" xfId="0" applyNumberFormat="1" applyFont="1" applyFill="1" applyBorder="1" applyAlignment="1">
      <alignment horizontal="right"/>
    </xf>
    <xf numFmtId="165" fontId="12" fillId="0" borderId="19" xfId="0" applyNumberFormat="1" applyFont="1" applyFill="1" applyBorder="1" applyAlignment="1">
      <alignment horizontal="right" vertical="center"/>
    </xf>
    <xf numFmtId="10" fontId="12" fillId="0" borderId="23" xfId="0" applyNumberFormat="1" applyFont="1" applyFill="1" applyBorder="1" applyAlignment="1">
      <alignment horizontal="right"/>
    </xf>
    <xf numFmtId="10" fontId="12" fillId="0" borderId="2" xfId="0" applyNumberFormat="1" applyFont="1" applyFill="1" applyBorder="1" applyAlignment="1">
      <alignment horizontal="right"/>
    </xf>
    <xf numFmtId="10" fontId="12" fillId="0" borderId="0" xfId="2" applyNumberFormat="1" applyFont="1" applyAlignment="1">
      <alignment horizontal="right"/>
    </xf>
    <xf numFmtId="10" fontId="24" fillId="0" borderId="0" xfId="0" applyNumberFormat="1" applyFont="1" applyFill="1" applyBorder="1" applyAlignment="1">
      <alignment horizontal="center" vertical="center"/>
    </xf>
    <xf numFmtId="168" fontId="0" fillId="0" borderId="0" xfId="0" applyNumberFormat="1"/>
    <xf numFmtId="168" fontId="12" fillId="0" borderId="23" xfId="0" applyNumberFormat="1" applyFont="1" applyFill="1" applyBorder="1" applyAlignment="1">
      <alignment horizontal="right" vertical="center"/>
    </xf>
    <xf numFmtId="9" fontId="12" fillId="0" borderId="15" xfId="2" applyFont="1" applyFill="1" applyBorder="1" applyAlignment="1">
      <alignment horizontal="right"/>
    </xf>
    <xf numFmtId="9" fontId="25" fillId="0" borderId="0" xfId="2" applyFont="1" applyFill="1" applyBorder="1" applyAlignment="1">
      <alignment horizontal="center"/>
    </xf>
    <xf numFmtId="165" fontId="12" fillId="0" borderId="0" xfId="2" applyNumberFormat="1" applyFont="1" applyFill="1" applyBorder="1" applyAlignment="1">
      <alignment horizontal="center"/>
    </xf>
    <xf numFmtId="165" fontId="12" fillId="0" borderId="0" xfId="0" applyNumberFormat="1" applyFont="1" applyFill="1" applyBorder="1" applyAlignment="1">
      <alignment horizontal="center"/>
    </xf>
    <xf numFmtId="164" fontId="12" fillId="0" borderId="2" xfId="0" applyNumberFormat="1" applyFont="1" applyFill="1" applyBorder="1" applyAlignment="1">
      <alignment horizontal="right"/>
    </xf>
    <xf numFmtId="164" fontId="12" fillId="0" borderId="0" xfId="0" applyNumberFormat="1" applyFont="1" applyFill="1" applyBorder="1" applyAlignment="1">
      <alignment horizontal="center"/>
    </xf>
    <xf numFmtId="166" fontId="12" fillId="0" borderId="0" xfId="0" applyNumberFormat="1" applyFont="1" applyFill="1" applyBorder="1" applyAlignment="1">
      <alignment horizontal="center"/>
    </xf>
    <xf numFmtId="2" fontId="12" fillId="0" borderId="19" xfId="0" applyNumberFormat="1" applyFont="1" applyFill="1" applyBorder="1" applyAlignment="1">
      <alignment horizontal="right"/>
    </xf>
    <xf numFmtId="164" fontId="24" fillId="0" borderId="0" xfId="0" applyNumberFormat="1" applyFon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14" fontId="0" fillId="10" borderId="9" xfId="0" applyNumberFormat="1" applyFill="1" applyBorder="1" applyAlignment="1">
      <alignment horizontal="center"/>
    </xf>
    <xf numFmtId="0" fontId="0" fillId="10" borderId="9" xfId="0" applyFill="1" applyBorder="1"/>
    <xf numFmtId="0" fontId="0" fillId="0" borderId="0" xfId="0" applyFill="1"/>
    <xf numFmtId="0" fontId="2" fillId="0" borderId="9" xfId="0" applyFont="1" applyFill="1" applyBorder="1"/>
    <xf numFmtId="0" fontId="0" fillId="10" borderId="9" xfId="0" applyFill="1" applyBorder="1" applyAlignment="1">
      <alignment horizontal="center"/>
    </xf>
    <xf numFmtId="0" fontId="2" fillId="6" borderId="9" xfId="0" applyFont="1" applyFill="1" applyBorder="1" applyAlignment="1"/>
    <xf numFmtId="166" fontId="2" fillId="0" borderId="9" xfId="0" applyNumberFormat="1" applyFont="1" applyBorder="1"/>
    <xf numFmtId="166" fontId="2" fillId="6" borderId="9" xfId="0" applyNumberFormat="1" applyFont="1" applyFill="1" applyBorder="1"/>
    <xf numFmtId="0" fontId="0" fillId="6" borderId="9" xfId="0" applyFill="1" applyBorder="1"/>
    <xf numFmtId="166" fontId="0" fillId="6" borderId="9" xfId="0" applyNumberFormat="1" applyFont="1" applyFill="1" applyBorder="1"/>
    <xf numFmtId="166" fontId="0" fillId="0" borderId="9" xfId="0" applyNumberFormat="1" applyFont="1" applyBorder="1"/>
    <xf numFmtId="166" fontId="38" fillId="6" borderId="9" xfId="0" applyNumberFormat="1" applyFont="1" applyFill="1" applyBorder="1"/>
    <xf numFmtId="166" fontId="0" fillId="0" borderId="9" xfId="0" applyNumberFormat="1" applyBorder="1"/>
    <xf numFmtId="166" fontId="0" fillId="6" borderId="9" xfId="0" applyNumberFormat="1" applyFill="1" applyBorder="1"/>
    <xf numFmtId="166" fontId="0" fillId="0" borderId="0" xfId="0" applyNumberFormat="1"/>
    <xf numFmtId="0" fontId="40" fillId="0" borderId="0" xfId="0" applyFont="1"/>
    <xf numFmtId="0" fontId="19" fillId="0" borderId="8" xfId="0" applyFont="1" applyBorder="1" applyAlignment="1">
      <alignment horizontal="right"/>
    </xf>
    <xf numFmtId="0" fontId="19" fillId="0" borderId="5" xfId="0" applyFont="1" applyBorder="1" applyAlignment="1">
      <alignment horizontal="right"/>
    </xf>
    <xf numFmtId="0" fontId="19" fillId="0" borderId="11" xfId="0" applyFont="1" applyBorder="1" applyAlignment="1">
      <alignment horizontal="right"/>
    </xf>
    <xf numFmtId="0" fontId="42" fillId="0" borderId="8" xfId="0" applyFont="1" applyBorder="1" applyAlignment="1">
      <alignment horizontal="right"/>
    </xf>
    <xf numFmtId="0" fontId="14" fillId="0" borderId="5" xfId="0" applyFont="1" applyBorder="1" applyAlignment="1">
      <alignment horizontal="right"/>
    </xf>
    <xf numFmtId="0" fontId="42" fillId="0" borderId="5" xfId="0" applyFont="1" applyBorder="1" applyAlignment="1">
      <alignment horizontal="right"/>
    </xf>
    <xf numFmtId="0" fontId="42" fillId="0" borderId="11" xfId="0" applyFont="1" applyBorder="1" applyAlignment="1">
      <alignment horizontal="right"/>
    </xf>
    <xf numFmtId="10" fontId="23" fillId="0" borderId="0" xfId="0" applyNumberFormat="1" applyFont="1" applyFill="1" applyBorder="1" applyAlignment="1">
      <alignment horizontal="right" vertical="center"/>
    </xf>
    <xf numFmtId="2" fontId="25" fillId="0" borderId="0" xfId="0" applyNumberFormat="1" applyFont="1" applyFill="1" applyBorder="1" applyAlignment="1">
      <alignment horizontal="right" vertical="center"/>
    </xf>
    <xf numFmtId="2" fontId="12" fillId="0" borderId="0" xfId="0" applyNumberFormat="1" applyFont="1" applyFill="1" applyBorder="1" applyAlignment="1">
      <alignment horizontal="right"/>
    </xf>
    <xf numFmtId="165" fontId="12" fillId="0" borderId="0" xfId="2" applyNumberFormat="1" applyFont="1" applyFill="1" applyBorder="1" applyAlignment="1">
      <alignment horizontal="right"/>
    </xf>
    <xf numFmtId="166" fontId="12" fillId="0" borderId="0" xfId="0" applyNumberFormat="1" applyFont="1" applyFill="1" applyBorder="1" applyAlignment="1">
      <alignment horizontal="right" vertical="center"/>
    </xf>
    <xf numFmtId="166" fontId="12" fillId="0" borderId="0" xfId="0" applyNumberFormat="1" applyFont="1" applyFill="1" applyBorder="1" applyAlignment="1">
      <alignment horizontal="right"/>
    </xf>
    <xf numFmtId="166" fontId="25" fillId="0" borderId="0" xfId="0" applyNumberFormat="1" applyFont="1" applyFill="1" applyBorder="1" applyAlignment="1">
      <alignment horizontal="right"/>
    </xf>
    <xf numFmtId="165" fontId="12" fillId="0" borderId="0" xfId="0" applyNumberFormat="1" applyFont="1" applyFill="1" applyBorder="1" applyAlignment="1">
      <alignment horizontal="right"/>
    </xf>
    <xf numFmtId="168" fontId="12" fillId="0" borderId="0" xfId="0" applyNumberFormat="1" applyFont="1" applyFill="1" applyBorder="1" applyAlignment="1">
      <alignment horizontal="right"/>
    </xf>
    <xf numFmtId="10" fontId="12" fillId="0" borderId="0" xfId="0" applyNumberFormat="1" applyFont="1" applyFill="1" applyBorder="1" applyAlignment="1">
      <alignment horizontal="right"/>
    </xf>
    <xf numFmtId="165" fontId="12" fillId="0" borderId="0" xfId="0" applyNumberFormat="1" applyFont="1" applyFill="1" applyBorder="1" applyAlignment="1">
      <alignment horizontal="right" vertical="center"/>
    </xf>
    <xf numFmtId="168" fontId="12" fillId="0" borderId="0" xfId="0" applyNumberFormat="1" applyFont="1" applyFill="1" applyBorder="1" applyAlignment="1">
      <alignment horizontal="right" vertical="center"/>
    </xf>
    <xf numFmtId="9" fontId="12" fillId="0" borderId="0" xfId="2" applyFont="1" applyFill="1" applyBorder="1" applyAlignment="1">
      <alignment horizontal="right"/>
    </xf>
    <xf numFmtId="164" fontId="12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right" vertical="center"/>
    </xf>
    <xf numFmtId="0" fontId="18" fillId="0" borderId="0" xfId="0" applyFont="1" applyFill="1" applyBorder="1" applyAlignment="1">
      <alignment horizontal="right" vertical="center"/>
    </xf>
    <xf numFmtId="10" fontId="9" fillId="0" borderId="0" xfId="0" applyNumberFormat="1" applyFont="1" applyFill="1" applyBorder="1" applyAlignment="1">
      <alignment horizontal="right" vertical="center"/>
    </xf>
    <xf numFmtId="9" fontId="9" fillId="0" borderId="0" xfId="0" applyNumberFormat="1" applyFont="1" applyFill="1" applyBorder="1" applyAlignment="1">
      <alignment horizontal="right" vertical="center"/>
    </xf>
    <xf numFmtId="2" fontId="20" fillId="0" borderId="0" xfId="0" applyNumberFormat="1" applyFont="1" applyFill="1" applyBorder="1" applyAlignment="1">
      <alignment horizontal="right"/>
    </xf>
    <xf numFmtId="2" fontId="20" fillId="0" borderId="0" xfId="2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10" fontId="12" fillId="0" borderId="0" xfId="2" applyNumberFormat="1" applyFont="1" applyFill="1" applyBorder="1" applyAlignment="1">
      <alignment horizontal="right"/>
    </xf>
    <xf numFmtId="0" fontId="2" fillId="11" borderId="2" xfId="0" applyFont="1" applyFill="1" applyBorder="1" applyAlignment="1">
      <alignment horizontal="center" vertical="center"/>
    </xf>
    <xf numFmtId="0" fontId="44" fillId="0" borderId="17" xfId="0" applyFont="1" applyBorder="1" applyAlignment="1">
      <alignment horizontal="right"/>
    </xf>
    <xf numFmtId="0" fontId="45" fillId="6" borderId="17" xfId="0" applyNumberFormat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right"/>
    </xf>
    <xf numFmtId="0" fontId="45" fillId="6" borderId="9" xfId="0" applyNumberFormat="1" applyFont="1" applyFill="1" applyBorder="1" applyAlignment="1">
      <alignment horizontal="center" vertical="center"/>
    </xf>
    <xf numFmtId="0" fontId="44" fillId="0" borderId="18" xfId="0" applyFont="1" applyBorder="1" applyAlignment="1">
      <alignment horizontal="right"/>
    </xf>
    <xf numFmtId="0" fontId="45" fillId="6" borderId="18" xfId="0" applyNumberFormat="1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right" vertical="center"/>
    </xf>
    <xf numFmtId="0" fontId="25" fillId="4" borderId="23" xfId="0" applyFont="1" applyFill="1" applyBorder="1" applyAlignment="1">
      <alignment horizontal="right" vertical="center"/>
    </xf>
    <xf numFmtId="0" fontId="55" fillId="0" borderId="17" xfId="0" applyFont="1" applyBorder="1" applyAlignment="1">
      <alignment horizontal="right" vertical="center" wrapText="1"/>
    </xf>
    <xf numFmtId="0" fontId="55" fillId="0" borderId="9" xfId="0" applyFont="1" applyBorder="1" applyAlignment="1">
      <alignment horizontal="right" vertical="center" wrapText="1"/>
    </xf>
    <xf numFmtId="0" fontId="55" fillId="0" borderId="9" xfId="0" applyFont="1" applyBorder="1"/>
    <xf numFmtId="0" fontId="55" fillId="6" borderId="9" xfId="0" applyFont="1" applyFill="1" applyBorder="1"/>
    <xf numFmtId="0" fontId="55" fillId="0" borderId="12" xfId="0" applyFont="1" applyBorder="1" applyAlignment="1">
      <alignment horizontal="right" vertical="center" wrapText="1"/>
    </xf>
    <xf numFmtId="0" fontId="0" fillId="0" borderId="1" xfId="0" applyBorder="1"/>
    <xf numFmtId="0" fontId="62" fillId="0" borderId="8" xfId="0" applyFont="1" applyBorder="1" applyAlignment="1">
      <alignment horizontal="right"/>
    </xf>
    <xf numFmtId="165" fontId="14" fillId="3" borderId="10" xfId="0" applyNumberFormat="1" applyFont="1" applyFill="1" applyBorder="1" applyAlignment="1">
      <alignment horizontal="center"/>
    </xf>
    <xf numFmtId="165" fontId="38" fillId="0" borderId="23" xfId="0" applyNumberFormat="1" applyFont="1" applyFill="1" applyBorder="1" applyAlignment="1">
      <alignment horizontal="right"/>
    </xf>
    <xf numFmtId="165" fontId="38" fillId="0" borderId="19" xfId="0" applyNumberFormat="1" applyFont="1" applyFill="1" applyBorder="1" applyAlignment="1">
      <alignment horizontal="right"/>
    </xf>
    <xf numFmtId="0" fontId="35" fillId="0" borderId="2" xfId="0" applyFont="1" applyBorder="1" applyAlignment="1">
      <alignment horizontal="right" vertical="center"/>
    </xf>
    <xf numFmtId="0" fontId="35" fillId="0" borderId="4" xfId="0" applyFont="1" applyBorder="1" applyAlignment="1">
      <alignment horizontal="right" vertical="center"/>
    </xf>
    <xf numFmtId="0" fontId="58" fillId="0" borderId="2" xfId="0" applyFont="1" applyBorder="1" applyAlignment="1">
      <alignment horizontal="right" vertical="center"/>
    </xf>
    <xf numFmtId="0" fontId="58" fillId="0" borderId="4" xfId="0" applyFont="1" applyBorder="1" applyAlignment="1">
      <alignment horizontal="right" vertical="center"/>
    </xf>
    <xf numFmtId="0" fontId="35" fillId="0" borderId="6" xfId="0" applyFont="1" applyBorder="1" applyAlignment="1">
      <alignment horizontal="right"/>
    </xf>
    <xf numFmtId="0" fontId="35" fillId="0" borderId="9" xfId="0" applyFont="1" applyBorder="1" applyAlignment="1">
      <alignment horizontal="right"/>
    </xf>
    <xf numFmtId="0" fontId="58" fillId="0" borderId="19" xfId="0" applyFont="1" applyBorder="1" applyAlignment="1">
      <alignment horizontal="right" vertical="center"/>
    </xf>
    <xf numFmtId="0" fontId="58" fillId="0" borderId="20" xfId="0" applyFont="1" applyBorder="1" applyAlignment="1">
      <alignment horizontal="right" vertical="center"/>
    </xf>
    <xf numFmtId="0" fontId="35" fillId="0" borderId="23" xfId="0" applyFont="1" applyBorder="1" applyAlignment="1">
      <alignment horizontal="right" vertical="center"/>
    </xf>
    <xf numFmtId="0" fontId="35" fillId="0" borderId="32" xfId="0" applyFont="1" applyBorder="1" applyAlignment="1">
      <alignment horizontal="right" vertical="center"/>
    </xf>
    <xf numFmtId="0" fontId="35" fillId="0" borderId="2" xfId="0" applyFont="1" applyBorder="1" applyAlignment="1">
      <alignment horizontal="right"/>
    </xf>
    <xf numFmtId="0" fontId="35" fillId="0" borderId="4" xfId="0" applyFont="1" applyBorder="1" applyAlignment="1">
      <alignment horizontal="right"/>
    </xf>
    <xf numFmtId="0" fontId="43" fillId="0" borderId="9" xfId="0" applyFont="1" applyBorder="1" applyAlignment="1">
      <alignment horizontal="right"/>
    </xf>
    <xf numFmtId="0" fontId="43" fillId="0" borderId="18" xfId="0" applyFont="1" applyBorder="1" applyAlignment="1">
      <alignment horizontal="right"/>
    </xf>
    <xf numFmtId="0" fontId="37" fillId="0" borderId="26" xfId="0" applyFont="1" applyBorder="1" applyAlignment="1">
      <alignment horizontal="center" vertical="center" textRotation="90"/>
    </xf>
    <xf numFmtId="0" fontId="37" fillId="0" borderId="27" xfId="0" applyFont="1" applyBorder="1" applyAlignment="1">
      <alignment horizontal="center" vertical="center" textRotation="90"/>
    </xf>
    <xf numFmtId="0" fontId="37" fillId="0" borderId="33" xfId="0" applyFont="1" applyBorder="1" applyAlignment="1">
      <alignment horizontal="center" vertical="center" textRotation="90"/>
    </xf>
    <xf numFmtId="0" fontId="35" fillId="6" borderId="6" xfId="0" applyFont="1" applyFill="1" applyBorder="1" applyAlignment="1">
      <alignment horizontal="right"/>
    </xf>
    <xf numFmtId="0" fontId="35" fillId="6" borderId="12" xfId="0" applyFont="1" applyFill="1" applyBorder="1" applyAlignment="1">
      <alignment horizontal="right"/>
    </xf>
    <xf numFmtId="0" fontId="35" fillId="0" borderId="9" xfId="0" applyFont="1" applyFill="1" applyBorder="1" applyAlignment="1">
      <alignment horizontal="right"/>
    </xf>
    <xf numFmtId="0" fontId="35" fillId="0" borderId="17" xfId="0" applyFont="1" applyBorder="1" applyAlignment="1">
      <alignment horizontal="right"/>
    </xf>
    <xf numFmtId="0" fontId="35" fillId="0" borderId="19" xfId="0" applyFont="1" applyBorder="1" applyAlignment="1">
      <alignment horizontal="right"/>
    </xf>
    <xf numFmtId="0" fontId="35" fillId="0" borderId="20" xfId="0" applyFont="1" applyBorder="1" applyAlignment="1">
      <alignment horizontal="right"/>
    </xf>
    <xf numFmtId="0" fontId="35" fillId="0" borderId="23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5" fillId="0" borderId="23" xfId="0" applyFont="1" applyFill="1" applyBorder="1" applyAlignment="1">
      <alignment horizontal="right" vertical="center" wrapText="1"/>
    </xf>
    <xf numFmtId="0" fontId="35" fillId="0" borderId="32" xfId="0" applyFont="1" applyFill="1" applyBorder="1" applyAlignment="1">
      <alignment horizontal="right" vertical="center" wrapText="1"/>
    </xf>
    <xf numFmtId="0" fontId="57" fillId="9" borderId="23" xfId="0" applyFont="1" applyFill="1" applyBorder="1" applyAlignment="1">
      <alignment horizontal="right" vertical="center" wrapText="1"/>
    </xf>
    <xf numFmtId="0" fontId="57" fillId="9" borderId="32" xfId="0" applyFont="1" applyFill="1" applyBorder="1" applyAlignment="1">
      <alignment horizontal="right" vertical="center" wrapText="1"/>
    </xf>
    <xf numFmtId="0" fontId="34" fillId="0" borderId="2" xfId="0" applyFont="1" applyBorder="1" applyAlignment="1">
      <alignment horizontal="right" vertical="center"/>
    </xf>
    <xf numFmtId="0" fontId="34" fillId="0" borderId="4" xfId="0" applyFont="1" applyBorder="1" applyAlignment="1">
      <alignment horizontal="right" vertical="center"/>
    </xf>
    <xf numFmtId="0" fontId="19" fillId="6" borderId="9" xfId="0" applyFont="1" applyFill="1" applyBorder="1" applyAlignment="1">
      <alignment horizontal="center" vertical="center" textRotation="90"/>
    </xf>
    <xf numFmtId="0" fontId="19" fillId="6" borderId="18" xfId="0" applyFont="1" applyFill="1" applyBorder="1" applyAlignment="1">
      <alignment horizontal="center" vertical="center" textRotation="90"/>
    </xf>
    <xf numFmtId="0" fontId="19" fillId="6" borderId="12" xfId="0" applyFont="1" applyFill="1" applyBorder="1" applyAlignment="1">
      <alignment horizontal="center" vertical="center" textRotation="90"/>
    </xf>
    <xf numFmtId="0" fontId="49" fillId="0" borderId="26" xfId="0" applyFont="1" applyBorder="1" applyAlignment="1">
      <alignment horizontal="center" vertical="center" textRotation="90"/>
    </xf>
    <xf numFmtId="0" fontId="49" fillId="0" borderId="27" xfId="0" applyFont="1" applyBorder="1" applyAlignment="1">
      <alignment horizontal="center" vertical="center" textRotation="90"/>
    </xf>
    <xf numFmtId="0" fontId="49" fillId="0" borderId="31" xfId="0" applyFont="1" applyBorder="1" applyAlignment="1">
      <alignment horizontal="center" vertical="center" textRotation="90"/>
    </xf>
    <xf numFmtId="0" fontId="50" fillId="0" borderId="6" xfId="0" applyFont="1" applyBorder="1" applyAlignment="1">
      <alignment horizontal="right"/>
    </xf>
    <xf numFmtId="0" fontId="50" fillId="0" borderId="2" xfId="0" applyFont="1" applyBorder="1" applyAlignment="1">
      <alignment horizontal="right"/>
    </xf>
    <xf numFmtId="0" fontId="50" fillId="0" borderId="4" xfId="0" applyFont="1" applyBorder="1" applyAlignment="1">
      <alignment horizontal="right"/>
    </xf>
    <xf numFmtId="0" fontId="50" fillId="0" borderId="12" xfId="0" applyFont="1" applyBorder="1" applyAlignment="1">
      <alignment horizontal="right"/>
    </xf>
    <xf numFmtId="0" fontId="51" fillId="0" borderId="17" xfId="0" applyFont="1" applyBorder="1" applyAlignment="1">
      <alignment horizontal="right"/>
    </xf>
    <xf numFmtId="0" fontId="52" fillId="0" borderId="28" xfId="0" applyFont="1" applyBorder="1" applyAlignment="1">
      <alignment horizontal="right"/>
    </xf>
    <xf numFmtId="0" fontId="52" fillId="0" borderId="29" xfId="0" applyFont="1" applyBorder="1" applyAlignment="1">
      <alignment horizontal="right"/>
    </xf>
    <xf numFmtId="0" fontId="52" fillId="0" borderId="21" xfId="0" applyFont="1" applyBorder="1" applyAlignment="1">
      <alignment horizontal="right"/>
    </xf>
    <xf numFmtId="0" fontId="52" fillId="0" borderId="30" xfId="0" applyFont="1" applyBorder="1" applyAlignment="1">
      <alignment horizontal="right"/>
    </xf>
    <xf numFmtId="0" fontId="52" fillId="0" borderId="21" xfId="0" applyFont="1" applyBorder="1" applyAlignment="1">
      <alignment horizontal="center"/>
    </xf>
    <xf numFmtId="0" fontId="52" fillId="0" borderId="30" xfId="0" applyFont="1" applyBorder="1" applyAlignment="1">
      <alignment horizontal="center"/>
    </xf>
    <xf numFmtId="0" fontId="52" fillId="0" borderId="15" xfId="0" applyFont="1" applyBorder="1" applyAlignment="1">
      <alignment horizontal="right"/>
    </xf>
    <xf numFmtId="0" fontId="52" fillId="0" borderId="16" xfId="0" applyFont="1" applyBorder="1" applyAlignment="1">
      <alignment horizontal="right"/>
    </xf>
    <xf numFmtId="0" fontId="54" fillId="0" borderId="12" xfId="0" applyFont="1" applyBorder="1" applyAlignment="1">
      <alignment horizontal="right"/>
    </xf>
    <xf numFmtId="0" fontId="19" fillId="6" borderId="17" xfId="0" applyFont="1" applyFill="1" applyBorder="1" applyAlignment="1">
      <alignment horizontal="center" vertical="center" textRotation="90"/>
    </xf>
    <xf numFmtId="0" fontId="43" fillId="0" borderId="6" xfId="0" applyFont="1" applyBorder="1" applyAlignment="1">
      <alignment horizontal="right"/>
    </xf>
    <xf numFmtId="0" fontId="34" fillId="0" borderId="2" xfId="0" applyFont="1" applyFill="1" applyBorder="1" applyAlignment="1">
      <alignment horizontal="right" vertical="center"/>
    </xf>
    <xf numFmtId="0" fontId="34" fillId="0" borderId="4" xfId="0" applyFont="1" applyFill="1" applyBorder="1" applyAlignment="1">
      <alignment horizontal="right" vertical="center"/>
    </xf>
    <xf numFmtId="0" fontId="33" fillId="0" borderId="9" xfId="0" applyFont="1" applyFill="1" applyBorder="1" applyAlignment="1">
      <alignment horizontal="right" vertical="center" wrapText="1"/>
    </xf>
    <xf numFmtId="0" fontId="35" fillId="0" borderId="9" xfId="0" applyFont="1" applyFill="1" applyBorder="1" applyAlignment="1">
      <alignment horizontal="right" vertical="center" wrapText="1"/>
    </xf>
    <xf numFmtId="0" fontId="46" fillId="8" borderId="2" xfId="0" applyFont="1" applyFill="1" applyBorder="1" applyAlignment="1">
      <alignment horizontal="right" vertical="center" wrapText="1"/>
    </xf>
    <xf numFmtId="0" fontId="46" fillId="8" borderId="4" xfId="0" applyFont="1" applyFill="1" applyBorder="1" applyAlignment="1">
      <alignment horizontal="right" vertical="center" wrapText="1"/>
    </xf>
    <xf numFmtId="0" fontId="35" fillId="0" borderId="9" xfId="0" applyFont="1" applyBorder="1" applyAlignment="1">
      <alignment horizontal="right" vertical="center" wrapText="1"/>
    </xf>
    <xf numFmtId="0" fontId="33" fillId="0" borderId="9" xfId="0" applyFont="1" applyBorder="1" applyAlignment="1">
      <alignment horizontal="right" vertical="center" wrapText="1"/>
    </xf>
    <xf numFmtId="0" fontId="35" fillId="0" borderId="19" xfId="0" applyFont="1" applyFill="1" applyBorder="1" applyAlignment="1">
      <alignment horizontal="right" vertical="center"/>
    </xf>
    <xf numFmtId="0" fontId="35" fillId="0" borderId="20" xfId="0" applyFont="1" applyFill="1" applyBorder="1" applyAlignment="1">
      <alignment horizontal="right" vertical="center"/>
    </xf>
    <xf numFmtId="0" fontId="19" fillId="4" borderId="6" xfId="0" applyFont="1" applyFill="1" applyBorder="1" applyAlignment="1">
      <alignment horizontal="center" vertical="center" wrapText="1"/>
    </xf>
    <xf numFmtId="0" fontId="33" fillId="0" borderId="9" xfId="0" applyFont="1" applyBorder="1" applyAlignment="1">
      <alignment horizontal="right"/>
    </xf>
    <xf numFmtId="0" fontId="36" fillId="0" borderId="2" xfId="0" applyFont="1" applyFill="1" applyBorder="1" applyAlignment="1">
      <alignment horizontal="right" vertical="center" wrapText="1"/>
    </xf>
    <xf numFmtId="0" fontId="36" fillId="0" borderId="4" xfId="0" applyFont="1" applyFill="1" applyBorder="1" applyAlignment="1">
      <alignment horizontal="right" vertical="center" wrapText="1"/>
    </xf>
    <xf numFmtId="0" fontId="61" fillId="0" borderId="2" xfId="0" applyFont="1" applyBorder="1" applyAlignment="1">
      <alignment horizontal="right" vertical="center" wrapText="1"/>
    </xf>
    <xf numFmtId="0" fontId="61" fillId="0" borderId="4" xfId="0" applyFont="1" applyBorder="1" applyAlignment="1">
      <alignment horizontal="right" vertical="center" wrapText="1"/>
    </xf>
    <xf numFmtId="0" fontId="59" fillId="0" borderId="2" xfId="0" applyFont="1" applyBorder="1" applyAlignment="1">
      <alignment horizontal="right" vertical="center" wrapText="1"/>
    </xf>
    <xf numFmtId="0" fontId="59" fillId="0" borderId="4" xfId="0" applyFont="1" applyBorder="1" applyAlignment="1">
      <alignment horizontal="right" vertical="center" wrapText="1"/>
    </xf>
    <xf numFmtId="0" fontId="59" fillId="0" borderId="2" xfId="0" applyFont="1" applyFill="1" applyBorder="1" applyAlignment="1">
      <alignment horizontal="right"/>
    </xf>
    <xf numFmtId="0" fontId="59" fillId="0" borderId="4" xfId="0" applyFont="1" applyFill="1" applyBorder="1" applyAlignment="1">
      <alignment horizontal="right"/>
    </xf>
    <xf numFmtId="0" fontId="48" fillId="0" borderId="2" xfId="0" applyFont="1" applyBorder="1" applyAlignment="1">
      <alignment horizontal="right" vertical="center"/>
    </xf>
    <xf numFmtId="0" fontId="48" fillId="0" borderId="4" xfId="0" applyFont="1" applyBorder="1" applyAlignment="1">
      <alignment horizontal="right" vertical="center"/>
    </xf>
    <xf numFmtId="0" fontId="47" fillId="0" borderId="2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47" fillId="0" borderId="2" xfId="0" applyFont="1" applyBorder="1" applyAlignment="1">
      <alignment horizontal="right" vertical="center"/>
    </xf>
    <xf numFmtId="0" fontId="47" fillId="0" borderId="4" xfId="0" applyFont="1" applyBorder="1" applyAlignment="1">
      <alignment horizontal="right" vertical="center"/>
    </xf>
    <xf numFmtId="0" fontId="35" fillId="0" borderId="15" xfId="0" applyFont="1" applyFill="1" applyBorder="1" applyAlignment="1">
      <alignment horizontal="right" vertical="center"/>
    </xf>
    <xf numFmtId="0" fontId="35" fillId="0" borderId="16" xfId="0" applyFont="1" applyFill="1" applyBorder="1" applyAlignment="1">
      <alignment horizontal="right" vertical="center"/>
    </xf>
    <xf numFmtId="0" fontId="42" fillId="0" borderId="2" xfId="0" applyFont="1" applyFill="1" applyBorder="1" applyAlignment="1">
      <alignment horizontal="right" wrapText="1"/>
    </xf>
    <xf numFmtId="0" fontId="42" fillId="0" borderId="4" xfId="0" applyFont="1" applyFill="1" applyBorder="1" applyAlignment="1">
      <alignment horizontal="right" wrapText="1"/>
    </xf>
    <xf numFmtId="0" fontId="61" fillId="0" borderId="2" xfId="0" applyFont="1" applyFill="1" applyBorder="1" applyAlignment="1">
      <alignment horizontal="right" vertical="center" wrapText="1"/>
    </xf>
    <xf numFmtId="0" fontId="61" fillId="0" borderId="4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4" fontId="2" fillId="3" borderId="12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55" fillId="6" borderId="9" xfId="0" applyFont="1" applyFill="1" applyBorder="1" applyAlignment="1">
      <alignment horizontal="center"/>
    </xf>
    <xf numFmtId="0" fontId="59" fillId="6" borderId="9" xfId="0" applyFont="1" applyFill="1" applyBorder="1" applyAlignment="1">
      <alignment horizontal="center"/>
    </xf>
    <xf numFmtId="0" fontId="59" fillId="0" borderId="9" xfId="0" applyFont="1" applyBorder="1" applyAlignment="1">
      <alignment horizontal="center"/>
    </xf>
    <xf numFmtId="0" fontId="60" fillId="6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 textRotation="90"/>
    </xf>
    <xf numFmtId="0" fontId="2" fillId="6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6" borderId="9" xfId="0" applyFont="1" applyFill="1" applyBorder="1" applyAlignment="1">
      <alignment horizont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24E4-94DE-49CA-BEF5-7D0A54325107}">
  <dimension ref="A1:K96"/>
  <sheetViews>
    <sheetView tabSelected="1" zoomScaleNormal="100" workbookViewId="0">
      <selection activeCell="D102" sqref="D102"/>
    </sheetView>
  </sheetViews>
  <sheetFormatPr baseColWidth="10" defaultRowHeight="14.4" x14ac:dyDescent="0.3"/>
  <sheetData>
    <row r="1" spans="1:11" ht="20.399999999999999" x14ac:dyDescent="0.4">
      <c r="A1" s="2" t="s">
        <v>80</v>
      </c>
      <c r="C1" s="3"/>
      <c r="D1" s="1"/>
      <c r="E1" s="1"/>
      <c r="F1" s="1"/>
      <c r="G1" s="1"/>
      <c r="H1" s="1"/>
      <c r="I1" s="1"/>
      <c r="J1" s="1"/>
      <c r="K1" s="1"/>
    </row>
    <row r="2" spans="1:11" ht="24.6" thickBot="1" x14ac:dyDescent="0.35">
      <c r="A2" s="4" t="s">
        <v>79</v>
      </c>
      <c r="B2" s="207"/>
      <c r="C2" s="5"/>
      <c r="D2" s="5"/>
      <c r="E2" s="5"/>
      <c r="F2" s="5"/>
      <c r="G2" s="1"/>
      <c r="H2" s="1"/>
      <c r="I2" s="1"/>
      <c r="J2" s="1"/>
      <c r="K2" s="1"/>
    </row>
    <row r="3" spans="1:11" ht="15.6" thickTop="1" thickBot="1" x14ac:dyDescent="0.35">
      <c r="A3" s="6" t="s">
        <v>0</v>
      </c>
      <c r="B3" s="1"/>
      <c r="C3" s="1"/>
      <c r="D3" s="1"/>
      <c r="E3" s="1"/>
      <c r="F3" s="1"/>
      <c r="G3" s="7" t="s">
        <v>81</v>
      </c>
      <c r="H3" s="8"/>
      <c r="I3" s="9"/>
      <c r="J3" s="1"/>
      <c r="K3" s="1"/>
    </row>
    <row r="4" spans="1:11" x14ac:dyDescent="0.3">
      <c r="A4" s="1"/>
      <c r="B4" s="164" t="s">
        <v>1</v>
      </c>
      <c r="C4" s="301"/>
      <c r="D4" s="302"/>
      <c r="E4" s="1"/>
      <c r="F4" s="10" t="s">
        <v>2</v>
      </c>
      <c r="G4" s="11" t="s">
        <v>3</v>
      </c>
      <c r="H4" s="12"/>
      <c r="I4" s="12"/>
      <c r="J4" s="12"/>
      <c r="K4" s="1"/>
    </row>
    <row r="5" spans="1:11" x14ac:dyDescent="0.3">
      <c r="A5" s="1"/>
      <c r="B5" s="163" t="s">
        <v>4</v>
      </c>
      <c r="C5" s="303"/>
      <c r="D5" s="304"/>
      <c r="E5" s="1"/>
      <c r="F5" s="1"/>
      <c r="G5" s="11" t="s">
        <v>5</v>
      </c>
      <c r="H5" s="12"/>
      <c r="I5" s="12"/>
      <c r="J5" s="12"/>
      <c r="K5" s="1"/>
    </row>
    <row r="6" spans="1:11" ht="15" thickBot="1" x14ac:dyDescent="0.35">
      <c r="A6" s="1"/>
      <c r="B6" s="165" t="s">
        <v>6</v>
      </c>
      <c r="C6" s="305"/>
      <c r="D6" s="306"/>
      <c r="E6" s="1"/>
      <c r="F6" s="1"/>
      <c r="G6" s="13" t="s">
        <v>7</v>
      </c>
      <c r="H6" s="1"/>
      <c r="I6" s="1"/>
      <c r="J6" s="1"/>
      <c r="K6" s="1"/>
    </row>
    <row r="7" spans="1:11" x14ac:dyDescent="0.3">
      <c r="A7" s="1"/>
      <c r="B7" s="163" t="s">
        <v>8</v>
      </c>
      <c r="C7" s="14"/>
      <c r="D7" s="15"/>
      <c r="E7" s="1"/>
      <c r="F7" s="1"/>
      <c r="G7" s="16"/>
      <c r="H7" s="1"/>
      <c r="I7" s="1"/>
      <c r="J7" s="1"/>
      <c r="K7" s="1"/>
    </row>
    <row r="8" spans="1:11" ht="15" thickBot="1" x14ac:dyDescent="0.35">
      <c r="A8" s="1"/>
      <c r="B8" s="1"/>
      <c r="C8" s="1"/>
      <c r="D8" s="1"/>
      <c r="E8" s="1"/>
      <c r="F8" s="1"/>
      <c r="G8" s="162" t="s">
        <v>82</v>
      </c>
      <c r="H8" s="1"/>
      <c r="I8" s="1"/>
      <c r="J8" s="1"/>
      <c r="K8" s="1"/>
    </row>
    <row r="9" spans="1:11" x14ac:dyDescent="0.3">
      <c r="A9" s="1"/>
      <c r="B9" s="168" t="s">
        <v>9</v>
      </c>
      <c r="C9" s="17" t="s">
        <v>84</v>
      </c>
      <c r="D9" s="167" t="s">
        <v>10</v>
      </c>
      <c r="E9" s="17"/>
      <c r="F9" s="1"/>
      <c r="G9" s="162" t="s">
        <v>83</v>
      </c>
      <c r="H9" s="1"/>
      <c r="I9" s="1"/>
      <c r="J9" s="1"/>
      <c r="K9" s="1"/>
    </row>
    <row r="10" spans="1:11" x14ac:dyDescent="0.3">
      <c r="A10" s="1"/>
      <c r="B10" s="166" t="s">
        <v>11</v>
      </c>
      <c r="C10" s="19">
        <f>(2.7+3.3)/2</f>
        <v>3</v>
      </c>
      <c r="D10" s="18" t="s">
        <v>12</v>
      </c>
      <c r="E10" s="14">
        <v>2.7</v>
      </c>
      <c r="F10" s="1"/>
      <c r="G10" s="1"/>
      <c r="H10" s="1"/>
      <c r="I10" s="1"/>
      <c r="J10" s="1"/>
      <c r="K10" s="1"/>
    </row>
    <row r="11" spans="1:11" x14ac:dyDescent="0.3">
      <c r="A11" s="1"/>
      <c r="B11" s="208" t="s">
        <v>13</v>
      </c>
      <c r="C11" s="209">
        <v>0</v>
      </c>
      <c r="D11" s="1"/>
      <c r="E11" s="1"/>
      <c r="F11" s="20" t="s">
        <v>85</v>
      </c>
      <c r="G11" s="1"/>
      <c r="H11" s="1"/>
      <c r="I11" s="1"/>
      <c r="J11" s="1"/>
      <c r="K11" s="1"/>
    </row>
    <row r="12" spans="1:11" ht="15" thickBot="1" x14ac:dyDescent="0.35">
      <c r="A12" s="1"/>
      <c r="B12" s="169" t="s">
        <v>100</v>
      </c>
      <c r="C12" s="21">
        <f>(1/(1+C11))*1</f>
        <v>1</v>
      </c>
      <c r="D12" s="22"/>
      <c r="E12" s="23" t="s">
        <v>14</v>
      </c>
      <c r="F12" s="24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1"/>
      <c r="E13" s="23" t="s">
        <v>15</v>
      </c>
      <c r="F13" s="24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23" t="s">
        <v>16</v>
      </c>
      <c r="F14" s="24"/>
      <c r="G14" s="25" t="s">
        <v>17</v>
      </c>
      <c r="H14" s="1"/>
      <c r="I14" s="1"/>
      <c r="J14" s="1"/>
      <c r="K14" s="1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307"/>
      <c r="C16" s="308"/>
      <c r="D16" s="26" t="s">
        <v>18</v>
      </c>
      <c r="E16" s="184"/>
      <c r="F16" s="27"/>
      <c r="G16" s="27"/>
      <c r="H16" s="27"/>
      <c r="I16" s="27"/>
      <c r="J16" s="27"/>
      <c r="K16" s="27"/>
    </row>
    <row r="17" spans="1:11" x14ac:dyDescent="0.3">
      <c r="A17" s="1"/>
      <c r="B17" s="309" t="s">
        <v>19</v>
      </c>
      <c r="C17" s="310"/>
      <c r="D17" s="193"/>
      <c r="E17" s="28"/>
      <c r="F17" s="28"/>
      <c r="G17" s="28"/>
      <c r="H17" s="28"/>
      <c r="I17" s="28"/>
      <c r="J17" s="28"/>
      <c r="K17" s="28"/>
    </row>
    <row r="18" spans="1:11" x14ac:dyDescent="0.3">
      <c r="A18" s="1"/>
      <c r="B18" s="299" t="s">
        <v>20</v>
      </c>
      <c r="C18" s="300"/>
      <c r="D18" s="29">
        <v>2</v>
      </c>
      <c r="E18" s="185"/>
      <c r="F18" s="30"/>
      <c r="G18" s="30"/>
      <c r="H18" s="30"/>
      <c r="I18" s="30"/>
      <c r="J18" s="30"/>
      <c r="K18" s="30"/>
    </row>
    <row r="19" spans="1:11" x14ac:dyDescent="0.3">
      <c r="A19" s="1"/>
      <c r="B19" s="281" t="s">
        <v>21</v>
      </c>
      <c r="C19" s="282"/>
      <c r="D19" s="200">
        <f>2*D18</f>
        <v>4</v>
      </c>
      <c r="E19" s="186"/>
      <c r="F19" s="31"/>
      <c r="G19" s="31"/>
      <c r="H19" s="31"/>
      <c r="I19" s="31"/>
      <c r="J19" s="31"/>
      <c r="K19" s="31"/>
    </row>
    <row r="20" spans="1:11" x14ac:dyDescent="0.3">
      <c r="A20" s="1"/>
      <c r="B20" s="283" t="s">
        <v>22</v>
      </c>
      <c r="C20" s="284"/>
      <c r="D20" s="29">
        <v>10</v>
      </c>
      <c r="E20" s="185"/>
      <c r="F20" s="30"/>
      <c r="G20" s="30"/>
      <c r="H20" s="30"/>
      <c r="I20" s="30"/>
      <c r="J20" s="30"/>
      <c r="K20" s="30"/>
    </row>
    <row r="21" spans="1:11" x14ac:dyDescent="0.3">
      <c r="A21" s="1"/>
      <c r="B21" s="285" t="s">
        <v>23</v>
      </c>
      <c r="C21" s="286"/>
      <c r="D21" s="32">
        <v>0.73</v>
      </c>
      <c r="E21" s="187"/>
      <c r="F21" s="33"/>
      <c r="G21" s="34"/>
      <c r="H21" s="33"/>
      <c r="I21" s="33"/>
      <c r="J21" s="33"/>
      <c r="K21" s="33"/>
    </row>
    <row r="22" spans="1:11" x14ac:dyDescent="0.3">
      <c r="A22" s="1"/>
      <c r="B22" s="287" t="s">
        <v>24</v>
      </c>
      <c r="C22" s="288"/>
      <c r="D22" s="32">
        <v>0.05</v>
      </c>
      <c r="E22" s="187"/>
      <c r="F22" s="35"/>
      <c r="G22" s="36"/>
      <c r="H22" s="37"/>
      <c r="I22" s="35"/>
      <c r="J22" s="36"/>
      <c r="K22" s="35"/>
    </row>
    <row r="23" spans="1:11" x14ac:dyDescent="0.3">
      <c r="A23" s="38" t="s">
        <v>25</v>
      </c>
      <c r="B23" s="289" t="s">
        <v>26</v>
      </c>
      <c r="C23" s="290"/>
      <c r="D23" s="32">
        <v>0</v>
      </c>
      <c r="E23" s="170"/>
      <c r="F23" s="39"/>
      <c r="G23" s="39"/>
      <c r="H23" s="39"/>
      <c r="I23" s="39"/>
      <c r="J23" s="39"/>
      <c r="K23" s="39"/>
    </row>
    <row r="24" spans="1:11" x14ac:dyDescent="0.3">
      <c r="A24" s="38" t="s">
        <v>27</v>
      </c>
      <c r="B24" s="291" t="s">
        <v>28</v>
      </c>
      <c r="C24" s="292"/>
      <c r="D24" s="40">
        <f>(D42/$E$10)/(D42/$E$10+D41/$C$10)</f>
        <v>0</v>
      </c>
      <c r="E24" s="170"/>
      <c r="F24" s="39"/>
      <c r="G24" s="39"/>
      <c r="H24" s="39"/>
      <c r="I24" s="39"/>
      <c r="J24" s="39"/>
      <c r="K24" s="39"/>
    </row>
    <row r="25" spans="1:11" x14ac:dyDescent="0.3">
      <c r="A25" s="38" t="s">
        <v>27</v>
      </c>
      <c r="B25" s="293" t="s">
        <v>29</v>
      </c>
      <c r="C25" s="294"/>
      <c r="D25" s="40">
        <f>(D42/$E$10)/(D38)</f>
        <v>0</v>
      </c>
      <c r="E25" s="170"/>
      <c r="F25" s="39"/>
      <c r="G25" s="41"/>
      <c r="H25" s="42"/>
      <c r="I25" s="42"/>
      <c r="J25" s="39"/>
      <c r="K25" s="39"/>
    </row>
    <row r="26" spans="1:11" x14ac:dyDescent="0.3">
      <c r="A26" s="1"/>
      <c r="B26" s="295" t="s">
        <v>30</v>
      </c>
      <c r="C26" s="296"/>
      <c r="D26" s="43">
        <f>(D44)/(D43)</f>
        <v>7.7671232876712306</v>
      </c>
      <c r="E26" s="171"/>
      <c r="F26" s="39"/>
      <c r="G26" s="41"/>
      <c r="H26" s="42"/>
      <c r="I26" s="42"/>
      <c r="J26" s="39"/>
      <c r="K26" s="39"/>
    </row>
    <row r="27" spans="1:11" x14ac:dyDescent="0.3">
      <c r="A27" s="1"/>
      <c r="B27" s="297" t="s">
        <v>91</v>
      </c>
      <c r="C27" s="298"/>
      <c r="D27" s="44">
        <v>0.25</v>
      </c>
      <c r="E27" s="188"/>
      <c r="F27" s="45"/>
      <c r="G27" s="45"/>
      <c r="H27" s="46"/>
      <c r="I27" s="46"/>
      <c r="J27" s="45"/>
      <c r="K27" s="47"/>
    </row>
    <row r="28" spans="1:11" x14ac:dyDescent="0.3">
      <c r="A28" s="1"/>
      <c r="B28" s="194" t="s">
        <v>86</v>
      </c>
      <c r="C28" s="195">
        <v>3.15</v>
      </c>
      <c r="D28" s="48">
        <v>0.2</v>
      </c>
      <c r="E28" s="188"/>
      <c r="F28" s="49"/>
      <c r="G28" s="50"/>
      <c r="H28" s="51"/>
      <c r="I28" s="51"/>
      <c r="J28" s="49"/>
      <c r="K28" s="49"/>
    </row>
    <row r="29" spans="1:11" x14ac:dyDescent="0.3">
      <c r="A29" s="1"/>
      <c r="B29" s="196" t="s">
        <v>87</v>
      </c>
      <c r="C29" s="197">
        <v>3.18</v>
      </c>
      <c r="D29" s="44"/>
      <c r="E29" s="188"/>
      <c r="F29" s="49"/>
      <c r="G29" s="50"/>
      <c r="H29" s="52"/>
      <c r="I29" s="52"/>
      <c r="J29" s="49"/>
      <c r="K29" s="49"/>
    </row>
    <row r="30" spans="1:11" x14ac:dyDescent="0.3">
      <c r="A30" s="1"/>
      <c r="B30" s="196" t="s">
        <v>88</v>
      </c>
      <c r="C30" s="197">
        <v>3.15</v>
      </c>
      <c r="D30" s="44"/>
      <c r="E30" s="188"/>
      <c r="F30" s="49"/>
      <c r="G30" s="53"/>
      <c r="H30" s="53"/>
      <c r="I30" s="53"/>
      <c r="J30" s="49"/>
      <c r="K30" s="49"/>
    </row>
    <row r="31" spans="1:11" x14ac:dyDescent="0.3">
      <c r="A31" s="1"/>
      <c r="B31" s="196" t="s">
        <v>89</v>
      </c>
      <c r="C31" s="197">
        <v>2.9</v>
      </c>
      <c r="D31" s="44">
        <v>0.8</v>
      </c>
      <c r="E31" s="188"/>
      <c r="F31" s="49"/>
      <c r="G31" s="50"/>
      <c r="H31" s="52"/>
      <c r="I31" s="52"/>
      <c r="J31" s="49"/>
      <c r="K31" s="49"/>
    </row>
    <row r="32" spans="1:11" x14ac:dyDescent="0.3">
      <c r="A32" s="1"/>
      <c r="B32" s="196" t="s">
        <v>90</v>
      </c>
      <c r="C32" s="197">
        <v>2.2999999999999998</v>
      </c>
      <c r="D32" s="44"/>
      <c r="E32" s="188"/>
      <c r="F32" s="49"/>
      <c r="G32" s="53"/>
      <c r="H32" s="52"/>
      <c r="I32" s="52"/>
      <c r="J32" s="49"/>
      <c r="K32" s="49"/>
    </row>
    <row r="33" spans="1:11" x14ac:dyDescent="0.3">
      <c r="A33" s="1"/>
      <c r="B33" s="198" t="s">
        <v>31</v>
      </c>
      <c r="C33" s="199">
        <v>2.6</v>
      </c>
      <c r="D33" s="44"/>
      <c r="E33" s="188"/>
      <c r="F33" s="49"/>
      <c r="G33" s="49"/>
      <c r="H33" s="49"/>
      <c r="I33" s="49"/>
      <c r="J33" s="49"/>
      <c r="K33" s="49"/>
    </row>
    <row r="34" spans="1:11" x14ac:dyDescent="0.3">
      <c r="A34" s="1"/>
      <c r="B34" s="280" t="s">
        <v>32</v>
      </c>
      <c r="C34" s="280"/>
      <c r="D34" s="54">
        <f>(D23/$E$10+(1-$D$23)/$C$10)^-1</f>
        <v>3</v>
      </c>
      <c r="E34" s="172"/>
      <c r="F34" s="55"/>
      <c r="G34" s="55"/>
      <c r="H34" s="55"/>
      <c r="I34" s="55"/>
      <c r="J34" s="55"/>
      <c r="K34" s="55"/>
    </row>
    <row r="35" spans="1:11" x14ac:dyDescent="0.3">
      <c r="A35" s="1"/>
      <c r="B35" s="280" t="s">
        <v>33</v>
      </c>
      <c r="C35" s="280"/>
      <c r="D35" s="54">
        <f>(D28/$C$28+D29/$C$29+D30/$C$30+D31/$C$31+D32/$C$32+D33/$C$33)^-1</f>
        <v>2.9467741935483871</v>
      </c>
      <c r="E35" s="172"/>
      <c r="F35" s="56"/>
      <c r="G35" s="56"/>
      <c r="H35" s="56"/>
      <c r="I35" s="56"/>
      <c r="J35" s="56"/>
      <c r="K35" s="56"/>
    </row>
    <row r="36" spans="1:11" x14ac:dyDescent="0.3">
      <c r="A36" s="1"/>
      <c r="B36" s="280" t="s">
        <v>34</v>
      </c>
      <c r="C36" s="280"/>
      <c r="D36" s="57">
        <f>(1+D22)/((1/$D$34)+(D22/D35))</f>
        <v>2.9974218750000001</v>
      </c>
      <c r="E36" s="172"/>
      <c r="F36" s="56"/>
      <c r="G36" s="56"/>
      <c r="H36" s="56"/>
      <c r="I36" s="56"/>
      <c r="J36" s="56"/>
      <c r="K36" s="56"/>
    </row>
    <row r="37" spans="1:11" x14ac:dyDescent="0.3">
      <c r="A37" s="58"/>
      <c r="B37" s="271" t="s">
        <v>35</v>
      </c>
      <c r="C37" s="271"/>
      <c r="D37" s="87">
        <f>PI()/4*(D18*2.54)^2*(D19*2.54)</f>
        <v>205.92591950522308</v>
      </c>
      <c r="E37" s="174"/>
      <c r="F37" s="59"/>
      <c r="G37" s="59"/>
      <c r="H37" s="59"/>
      <c r="I37" s="59"/>
      <c r="J37" s="59"/>
      <c r="K37" s="59"/>
    </row>
    <row r="38" spans="1:11" x14ac:dyDescent="0.3">
      <c r="A38" s="58"/>
      <c r="B38" s="272" t="s">
        <v>101</v>
      </c>
      <c r="C38" s="272"/>
      <c r="D38" s="70">
        <f>D37*D20*(1+D27)</f>
        <v>2574.0739938152888</v>
      </c>
      <c r="E38" s="174"/>
      <c r="F38" s="1"/>
      <c r="G38" s="60"/>
      <c r="H38" s="61"/>
      <c r="I38" s="59"/>
      <c r="J38" s="62"/>
      <c r="K38" s="59"/>
    </row>
    <row r="39" spans="1:11" x14ac:dyDescent="0.3">
      <c r="A39" s="58"/>
      <c r="B39" s="217" t="s">
        <v>36</v>
      </c>
      <c r="C39" s="217"/>
      <c r="D39" s="57">
        <f>(D21*D38)*((D21/D36)+(1-D21)/1)^-1</f>
        <v>3659.0419447974487</v>
      </c>
      <c r="E39" s="172"/>
      <c r="F39" s="1"/>
      <c r="G39" s="56"/>
      <c r="H39" s="63"/>
      <c r="I39" s="56"/>
      <c r="J39" s="62"/>
      <c r="K39" s="56"/>
    </row>
    <row r="40" spans="1:11" x14ac:dyDescent="0.3">
      <c r="A40" s="64" t="s">
        <v>37</v>
      </c>
      <c r="B40" s="273" t="s">
        <v>38</v>
      </c>
      <c r="C40" s="274"/>
      <c r="D40" s="65">
        <f>(D36*(1/D21-1))/((D38*D36)/D39-1)</f>
        <v>0.99999999999999956</v>
      </c>
      <c r="E40" s="173"/>
      <c r="F40" s="1"/>
      <c r="G40" s="66"/>
      <c r="H40" s="67"/>
      <c r="I40" s="68"/>
      <c r="J40" s="66"/>
      <c r="K40" s="69"/>
    </row>
    <row r="41" spans="1:11" x14ac:dyDescent="0.3">
      <c r="A41" s="1"/>
      <c r="B41" s="275" t="s">
        <v>39</v>
      </c>
      <c r="C41" s="275"/>
      <c r="D41" s="70">
        <f>(1-D23)*(D39/(1+D22))</f>
        <v>3484.8018521880463</v>
      </c>
      <c r="E41" s="174"/>
      <c r="F41" s="1"/>
      <c r="G41" s="59"/>
      <c r="H41" s="71"/>
      <c r="I41" s="72"/>
      <c r="J41" s="59"/>
      <c r="K41" s="59"/>
    </row>
    <row r="42" spans="1:11" x14ac:dyDescent="0.3">
      <c r="A42" s="1"/>
      <c r="B42" s="212" t="s">
        <v>40</v>
      </c>
      <c r="C42" s="213"/>
      <c r="D42" s="70">
        <f>(D23)*(D39/(1+D22))</f>
        <v>0</v>
      </c>
      <c r="E42" s="174"/>
      <c r="F42" s="1"/>
      <c r="G42" s="15"/>
      <c r="H42" s="67"/>
      <c r="I42" s="73"/>
      <c r="J42" s="55"/>
      <c r="K42" s="55"/>
    </row>
    <row r="43" spans="1:11" x14ac:dyDescent="0.3">
      <c r="A43" s="1"/>
      <c r="B43" s="276" t="s">
        <v>41</v>
      </c>
      <c r="C43" s="276"/>
      <c r="D43" s="70">
        <f>D22*(D41+D42)</f>
        <v>174.24009260940232</v>
      </c>
      <c r="E43" s="174"/>
      <c r="F43" s="1"/>
      <c r="G43" s="55"/>
      <c r="H43" s="55"/>
      <c r="I43" s="55"/>
      <c r="J43" s="55"/>
      <c r="K43" s="55"/>
    </row>
    <row r="44" spans="1:11" x14ac:dyDescent="0.3">
      <c r="A44" s="1"/>
      <c r="B44" s="276" t="s">
        <v>42</v>
      </c>
      <c r="C44" s="276"/>
      <c r="D44" s="70">
        <f>D39*(1/D21-1)</f>
        <v>1353.3442809524806</v>
      </c>
      <c r="E44" s="174"/>
      <c r="F44" s="1"/>
      <c r="G44" s="59"/>
      <c r="H44" s="59"/>
      <c r="I44" s="59"/>
      <c r="J44" s="59"/>
      <c r="K44" s="59"/>
    </row>
    <row r="45" spans="1:11" x14ac:dyDescent="0.3">
      <c r="A45" s="1"/>
      <c r="B45" s="276" t="s">
        <v>43</v>
      </c>
      <c r="C45" s="276"/>
      <c r="D45" s="70">
        <f>D41*$C$11</f>
        <v>0</v>
      </c>
      <c r="E45" s="174"/>
      <c r="F45" s="1"/>
      <c r="G45" s="74"/>
      <c r="H45" s="75"/>
      <c r="I45" s="76"/>
      <c r="J45" s="75"/>
      <c r="K45" s="76"/>
    </row>
    <row r="46" spans="1:11" ht="15" thickBot="1" x14ac:dyDescent="0.35">
      <c r="A46" s="1"/>
      <c r="B46" s="277" t="s">
        <v>44</v>
      </c>
      <c r="C46" s="278"/>
      <c r="D46" s="77">
        <f>D41+D42+D43+D44</f>
        <v>5012.3862257499295</v>
      </c>
      <c r="E46" s="174"/>
      <c r="F46" s="1"/>
      <c r="G46" s="78"/>
      <c r="H46" s="79"/>
      <c r="I46" s="80"/>
      <c r="J46" s="79"/>
      <c r="K46" s="81"/>
    </row>
    <row r="47" spans="1:11" x14ac:dyDescent="0.3">
      <c r="A47" s="82"/>
      <c r="B47" s="279" t="s">
        <v>45</v>
      </c>
      <c r="C47" s="279"/>
      <c r="D47" s="201" t="str">
        <f>D16</f>
        <v>Recette 1</v>
      </c>
      <c r="E47" s="185"/>
      <c r="F47" s="1"/>
      <c r="G47" s="83"/>
      <c r="H47" s="84"/>
      <c r="I47" s="85"/>
      <c r="J47" s="83"/>
      <c r="K47" s="81"/>
    </row>
    <row r="48" spans="1:11" x14ac:dyDescent="0.3">
      <c r="A48" s="86"/>
      <c r="B48" s="269" t="s">
        <v>46</v>
      </c>
      <c r="C48" s="270"/>
      <c r="D48" s="87">
        <f>D42</f>
        <v>0</v>
      </c>
      <c r="E48" s="174"/>
      <c r="F48" s="1"/>
      <c r="G48" s="83"/>
      <c r="H48" s="84"/>
      <c r="I48" s="85"/>
      <c r="J48" s="83"/>
      <c r="K48" s="81"/>
    </row>
    <row r="49" spans="1:11" x14ac:dyDescent="0.3">
      <c r="A49" s="86"/>
      <c r="B49" s="245" t="s">
        <v>47</v>
      </c>
      <c r="C49" s="246"/>
      <c r="D49" s="70">
        <f>D41/$C$12</f>
        <v>3484.8018521880463</v>
      </c>
      <c r="E49" s="174"/>
      <c r="F49" s="1"/>
      <c r="G49" s="83"/>
      <c r="H49" s="84"/>
      <c r="I49" s="85"/>
      <c r="J49" s="83"/>
      <c r="K49" s="81"/>
    </row>
    <row r="50" spans="1:11" x14ac:dyDescent="0.3">
      <c r="A50" s="86"/>
      <c r="B50" s="245" t="s">
        <v>48</v>
      </c>
      <c r="C50" s="246"/>
      <c r="D50" s="70">
        <f>D44-D45</f>
        <v>1353.3442809524806</v>
      </c>
      <c r="E50" s="174"/>
      <c r="F50" s="1"/>
      <c r="G50" s="88"/>
      <c r="H50" s="88"/>
      <c r="I50" s="89"/>
      <c r="J50" s="88"/>
      <c r="K50" s="89"/>
    </row>
    <row r="51" spans="1:11" x14ac:dyDescent="0.3">
      <c r="A51" s="86"/>
      <c r="B51" s="247" t="s">
        <v>49</v>
      </c>
      <c r="C51" s="203" t="str">
        <f t="shared" ref="C51:C56" si="0">B28</f>
        <v>(T10) GU</v>
      </c>
      <c r="D51" s="70">
        <f t="shared" ref="D51:D56" si="1">D$43*D28</f>
        <v>34.848018521880469</v>
      </c>
      <c r="E51" s="174"/>
      <c r="F51" s="1"/>
      <c r="G51" s="90"/>
      <c r="H51" s="91"/>
      <c r="I51" s="76"/>
      <c r="J51" s="91"/>
      <c r="K51" s="76"/>
    </row>
    <row r="52" spans="1:11" x14ac:dyDescent="0.3">
      <c r="A52" s="86"/>
      <c r="B52" s="247"/>
      <c r="C52" s="203" t="str">
        <f t="shared" si="0"/>
        <v>(T50) HS</v>
      </c>
      <c r="D52" s="70">
        <f t="shared" si="1"/>
        <v>0</v>
      </c>
      <c r="E52" s="174"/>
      <c r="F52" s="1"/>
      <c r="G52" s="74"/>
      <c r="H52" s="75"/>
      <c r="I52" s="76"/>
      <c r="J52" s="75"/>
      <c r="K52" s="76"/>
    </row>
    <row r="53" spans="1:11" x14ac:dyDescent="0.3">
      <c r="A53" s="86"/>
      <c r="B53" s="247"/>
      <c r="C53" s="203" t="str">
        <f t="shared" si="0"/>
        <v>(T30) HE</v>
      </c>
      <c r="D53" s="70">
        <f t="shared" si="1"/>
        <v>0</v>
      </c>
      <c r="E53" s="174"/>
      <c r="F53" s="1"/>
      <c r="G53" s="78"/>
      <c r="H53" s="92"/>
      <c r="I53" s="93"/>
      <c r="J53" s="92"/>
      <c r="K53" s="71"/>
    </row>
    <row r="54" spans="1:11" x14ac:dyDescent="0.3">
      <c r="A54" s="86"/>
      <c r="B54" s="247"/>
      <c r="C54" s="203" t="str">
        <f t="shared" si="0"/>
        <v>Slag (GGBFS)</v>
      </c>
      <c r="D54" s="70">
        <f t="shared" si="1"/>
        <v>139.39207408752188</v>
      </c>
      <c r="E54" s="174"/>
      <c r="F54" s="1"/>
      <c r="G54" s="83"/>
      <c r="H54" s="84"/>
      <c r="I54" s="85"/>
      <c r="J54" s="83"/>
      <c r="K54" s="81"/>
    </row>
    <row r="55" spans="1:11" x14ac:dyDescent="0.3">
      <c r="A55" s="86"/>
      <c r="B55" s="248"/>
      <c r="C55" s="203" t="str">
        <f t="shared" si="0"/>
        <v>FA (types C, F)</v>
      </c>
      <c r="D55" s="70">
        <f t="shared" si="1"/>
        <v>0</v>
      </c>
      <c r="E55" s="174"/>
      <c r="F55" s="94"/>
      <c r="G55" s="83"/>
      <c r="H55" s="84"/>
      <c r="I55" s="85"/>
      <c r="J55" s="83"/>
      <c r="K55" s="81"/>
    </row>
    <row r="56" spans="1:11" ht="15" thickBot="1" x14ac:dyDescent="0.35">
      <c r="A56" s="95"/>
      <c r="B56" s="249"/>
      <c r="C56" s="206" t="str">
        <f t="shared" si="0"/>
        <v>Chaux</v>
      </c>
      <c r="D56" s="96">
        <f t="shared" si="1"/>
        <v>0</v>
      </c>
      <c r="E56" s="174"/>
      <c r="F56" s="94"/>
      <c r="G56" s="83"/>
      <c r="H56" s="84"/>
      <c r="I56" s="85"/>
      <c r="J56" s="83"/>
      <c r="K56" s="81"/>
    </row>
    <row r="57" spans="1:11" x14ac:dyDescent="0.3">
      <c r="A57" s="250" t="s">
        <v>50</v>
      </c>
      <c r="B57" s="253" t="s">
        <v>51</v>
      </c>
      <c r="C57" s="253"/>
      <c r="D57" s="97">
        <v>0</v>
      </c>
      <c r="E57" s="189"/>
      <c r="F57" s="98"/>
      <c r="G57" s="98"/>
      <c r="H57" s="99"/>
      <c r="I57" s="99"/>
      <c r="J57" s="98"/>
      <c r="K57" s="98"/>
    </row>
    <row r="58" spans="1:11" x14ac:dyDescent="0.3">
      <c r="A58" s="251"/>
      <c r="B58" s="254" t="s">
        <v>52</v>
      </c>
      <c r="C58" s="255"/>
      <c r="D58" s="100">
        <v>0</v>
      </c>
      <c r="E58" s="189"/>
      <c r="F58" s="98"/>
      <c r="G58" s="98"/>
      <c r="H58" s="101"/>
      <c r="I58" s="101"/>
      <c r="J58" s="98"/>
      <c r="K58" s="98"/>
    </row>
    <row r="59" spans="1:11" ht="15" thickBot="1" x14ac:dyDescent="0.35">
      <c r="A59" s="251"/>
      <c r="B59" s="256" t="s">
        <v>53</v>
      </c>
      <c r="C59" s="256"/>
      <c r="D59" s="102">
        <v>0</v>
      </c>
      <c r="E59" s="190"/>
      <c r="F59" s="98"/>
      <c r="G59" s="59"/>
      <c r="H59" s="59"/>
      <c r="I59" s="59"/>
      <c r="J59" s="59"/>
      <c r="K59" s="98"/>
    </row>
    <row r="60" spans="1:11" x14ac:dyDescent="0.3">
      <c r="A60" s="251"/>
      <c r="B60" s="257" t="s">
        <v>54</v>
      </c>
      <c r="C60" s="257"/>
      <c r="D60" s="103">
        <f>D59*$C$12</f>
        <v>0</v>
      </c>
      <c r="E60" s="175"/>
      <c r="F60" s="104"/>
      <c r="G60" s="74"/>
      <c r="H60" s="75"/>
      <c r="I60" s="75"/>
      <c r="J60" s="75"/>
      <c r="K60" s="75"/>
    </row>
    <row r="61" spans="1:11" x14ac:dyDescent="0.3">
      <c r="A61" s="251"/>
      <c r="B61" s="258" t="s">
        <v>92</v>
      </c>
      <c r="C61" s="259"/>
      <c r="D61" s="105">
        <f>D60/$C$10</f>
        <v>0</v>
      </c>
      <c r="E61" s="175"/>
      <c r="F61" s="104"/>
      <c r="G61" s="78"/>
      <c r="H61" s="79"/>
      <c r="I61" s="79"/>
      <c r="J61" s="106"/>
      <c r="K61" s="107"/>
    </row>
    <row r="62" spans="1:11" x14ac:dyDescent="0.3">
      <c r="A62" s="251"/>
      <c r="B62" s="260" t="s">
        <v>93</v>
      </c>
      <c r="C62" s="261"/>
      <c r="D62" s="105">
        <f>D58/$E$10</f>
        <v>0</v>
      </c>
      <c r="E62" s="175"/>
      <c r="F62" s="104"/>
      <c r="G62" s="83"/>
      <c r="H62" s="84"/>
      <c r="I62" s="83"/>
      <c r="J62" s="106"/>
      <c r="K62" s="107"/>
    </row>
    <row r="63" spans="1:11" x14ac:dyDescent="0.3">
      <c r="A63" s="251"/>
      <c r="B63" s="262" t="s">
        <v>94</v>
      </c>
      <c r="C63" s="263"/>
      <c r="D63" s="105">
        <f>D65/$D$35</f>
        <v>0</v>
      </c>
      <c r="E63" s="175"/>
      <c r="F63" s="104"/>
      <c r="G63" s="83"/>
      <c r="H63" s="84"/>
      <c r="I63" s="83"/>
      <c r="J63" s="106"/>
      <c r="K63" s="107"/>
    </row>
    <row r="64" spans="1:11" x14ac:dyDescent="0.3">
      <c r="A64" s="251"/>
      <c r="B64" s="264" t="s">
        <v>95</v>
      </c>
      <c r="C64" s="265"/>
      <c r="D64" s="105">
        <f>D57+(D59-D60)</f>
        <v>0</v>
      </c>
      <c r="E64" s="175"/>
      <c r="F64" s="104"/>
      <c r="G64" s="83"/>
      <c r="H64" s="84"/>
      <c r="I64" s="83"/>
      <c r="J64" s="106"/>
      <c r="K64" s="107"/>
    </row>
    <row r="65" spans="1:11" ht="15" thickBot="1" x14ac:dyDescent="0.35">
      <c r="A65" s="251"/>
      <c r="B65" s="266" t="s">
        <v>55</v>
      </c>
      <c r="C65" s="266"/>
      <c r="D65" s="108">
        <f>D60*D22</f>
        <v>0</v>
      </c>
      <c r="E65" s="176"/>
      <c r="F65" s="104"/>
      <c r="G65" s="104"/>
      <c r="H65" s="109"/>
      <c r="I65" s="110"/>
      <c r="J65" s="104"/>
      <c r="K65" s="104"/>
    </row>
    <row r="66" spans="1:11" x14ac:dyDescent="0.3">
      <c r="A66" s="251"/>
      <c r="B66" s="267" t="s">
        <v>49</v>
      </c>
      <c r="C66" s="202" t="str">
        <f t="shared" ref="C66:C71" si="2">B28</f>
        <v>(T10) GU</v>
      </c>
      <c r="D66" s="87">
        <f t="shared" ref="D66:D71" si="3">D$65*D28</f>
        <v>0</v>
      </c>
      <c r="E66" s="174"/>
      <c r="F66" s="94"/>
      <c r="G66" s="94"/>
      <c r="H66" s="109"/>
      <c r="I66" s="110"/>
      <c r="J66" s="94"/>
      <c r="K66" s="94"/>
    </row>
    <row r="67" spans="1:11" x14ac:dyDescent="0.3">
      <c r="A67" s="251"/>
      <c r="B67" s="247"/>
      <c r="C67" s="203" t="str">
        <f t="shared" si="2"/>
        <v>(T50) HS</v>
      </c>
      <c r="D67" s="70">
        <f t="shared" si="3"/>
        <v>0</v>
      </c>
      <c r="E67" s="174"/>
      <c r="F67" s="94"/>
      <c r="G67" s="90"/>
      <c r="H67" s="55"/>
      <c r="I67" s="91"/>
      <c r="J67" s="91"/>
      <c r="K67" s="91"/>
    </row>
    <row r="68" spans="1:11" x14ac:dyDescent="0.3">
      <c r="A68" s="251"/>
      <c r="B68" s="247"/>
      <c r="C68" s="203" t="str">
        <f t="shared" si="2"/>
        <v>(T30) HE</v>
      </c>
      <c r="D68" s="70">
        <f t="shared" si="3"/>
        <v>0</v>
      </c>
      <c r="E68" s="174"/>
      <c r="F68" s="94"/>
      <c r="G68" s="55"/>
      <c r="H68" s="55"/>
      <c r="I68" s="55"/>
      <c r="J68" s="55"/>
      <c r="K68" s="55"/>
    </row>
    <row r="69" spans="1:11" x14ac:dyDescent="0.3">
      <c r="A69" s="251"/>
      <c r="B69" s="247"/>
      <c r="C69" s="203" t="str">
        <f t="shared" si="2"/>
        <v>Slag (GGBFS)</v>
      </c>
      <c r="D69" s="70">
        <f t="shared" si="3"/>
        <v>0</v>
      </c>
      <c r="E69" s="174"/>
      <c r="F69" s="94"/>
      <c r="G69" s="74"/>
      <c r="H69" s="75"/>
      <c r="I69" s="75"/>
      <c r="J69" s="75"/>
      <c r="K69" s="75"/>
    </row>
    <row r="70" spans="1:11" x14ac:dyDescent="0.3">
      <c r="A70" s="251"/>
      <c r="B70" s="248"/>
      <c r="C70" s="203" t="str">
        <f t="shared" si="2"/>
        <v>FA (types C, F)</v>
      </c>
      <c r="D70" s="70">
        <f t="shared" si="3"/>
        <v>0</v>
      </c>
      <c r="E70" s="174"/>
      <c r="F70" s="94"/>
      <c r="G70" s="83"/>
      <c r="H70" s="111"/>
      <c r="I70" s="84"/>
      <c r="J70" s="83"/>
      <c r="K70" s="106"/>
    </row>
    <row r="71" spans="1:11" ht="15" thickBot="1" x14ac:dyDescent="0.35">
      <c r="A71" s="252"/>
      <c r="B71" s="249"/>
      <c r="C71" s="203" t="str">
        <f t="shared" si="2"/>
        <v>Chaux</v>
      </c>
      <c r="D71" s="70">
        <f t="shared" si="3"/>
        <v>0</v>
      </c>
      <c r="E71" s="174"/>
      <c r="F71" s="94"/>
      <c r="G71" s="83"/>
      <c r="H71" s="111"/>
      <c r="I71" s="84"/>
      <c r="J71" s="83"/>
      <c r="K71" s="106"/>
    </row>
    <row r="72" spans="1:11" x14ac:dyDescent="0.3">
      <c r="A72" s="1"/>
      <c r="B72" s="268" t="s">
        <v>56</v>
      </c>
      <c r="C72" s="268"/>
      <c r="D72" s="112"/>
      <c r="E72" s="191"/>
      <c r="F72" s="99"/>
      <c r="G72" s="83"/>
      <c r="H72" s="111"/>
      <c r="I72" s="84"/>
      <c r="J72" s="83"/>
      <c r="K72" s="106"/>
    </row>
    <row r="73" spans="1:11" x14ac:dyDescent="0.3">
      <c r="A73" s="1"/>
      <c r="B73" s="224" t="s">
        <v>57</v>
      </c>
      <c r="C73" s="224"/>
      <c r="D73" s="113"/>
      <c r="E73" s="191"/>
      <c r="F73" s="99"/>
      <c r="G73" s="99"/>
      <c r="H73" s="109"/>
      <c r="I73" s="114"/>
      <c r="J73" s="98"/>
      <c r="K73" s="98"/>
    </row>
    <row r="74" spans="1:11" x14ac:dyDescent="0.3">
      <c r="A74" s="1"/>
      <c r="B74" s="224" t="s">
        <v>58</v>
      </c>
      <c r="C74" s="224"/>
      <c r="D74" s="113"/>
      <c r="E74" s="191"/>
      <c r="F74" s="115"/>
      <c r="G74" s="115"/>
      <c r="H74" s="116"/>
      <c r="I74" s="117"/>
      <c r="J74" s="98"/>
      <c r="K74" s="98"/>
    </row>
    <row r="75" spans="1:11" ht="15" thickBot="1" x14ac:dyDescent="0.35">
      <c r="A75" s="1"/>
      <c r="B75" s="225" t="s">
        <v>59</v>
      </c>
      <c r="C75" s="225"/>
      <c r="D75" s="118"/>
      <c r="E75" s="191"/>
      <c r="F75" s="99"/>
      <c r="G75" s="99"/>
      <c r="H75" s="116"/>
      <c r="I75" s="119"/>
      <c r="J75" s="98"/>
      <c r="K75" s="98"/>
    </row>
    <row r="76" spans="1:11" x14ac:dyDescent="0.3">
      <c r="A76" s="226" t="s">
        <v>60</v>
      </c>
      <c r="B76" s="229" t="s">
        <v>61</v>
      </c>
      <c r="C76" s="229"/>
      <c r="D76" s="210" t="e">
        <f>(D74-D75)/(D75-D73)</f>
        <v>#DIV/0!</v>
      </c>
      <c r="E76" s="177"/>
      <c r="F76" s="120"/>
      <c r="I76" s="121"/>
      <c r="J76" s="120"/>
      <c r="K76" s="120"/>
    </row>
    <row r="77" spans="1:11" ht="15" thickBot="1" x14ac:dyDescent="0.35">
      <c r="A77" s="227"/>
      <c r="B77" s="230" t="s">
        <v>62</v>
      </c>
      <c r="C77" s="230"/>
      <c r="D77" s="211" t="e">
        <f>(D75-D73)/(D74-D73)</f>
        <v>#DIV/0!</v>
      </c>
      <c r="E77" s="177"/>
      <c r="F77" s="120"/>
      <c r="I77" s="122"/>
      <c r="J77" s="120"/>
      <c r="K77" s="120"/>
    </row>
    <row r="78" spans="1:11" x14ac:dyDescent="0.3">
      <c r="A78" s="227"/>
      <c r="B78" s="231" t="s">
        <v>63</v>
      </c>
      <c r="C78" s="231"/>
      <c r="D78" s="57">
        <f>(D44+D64)/(D43+D65)</f>
        <v>7.7671232876712306</v>
      </c>
      <c r="E78" s="172"/>
      <c r="F78" s="120"/>
      <c r="I78" s="121"/>
      <c r="J78" s="120"/>
      <c r="K78" s="120"/>
    </row>
    <row r="79" spans="1:11" x14ac:dyDescent="0.3">
      <c r="A79" s="227"/>
      <c r="B79" s="232" t="s">
        <v>64</v>
      </c>
      <c r="C79" s="232"/>
      <c r="D79" s="123">
        <f>(D44+D64)/(D41+D42+D43+D58+D60+D65)</f>
        <v>0.36986301369863006</v>
      </c>
      <c r="E79" s="177"/>
      <c r="F79" s="124"/>
      <c r="J79" s="124"/>
      <c r="K79" s="124"/>
    </row>
    <row r="80" spans="1:11" ht="15" thickBot="1" x14ac:dyDescent="0.35">
      <c r="A80" s="227"/>
      <c r="B80" s="233" t="s">
        <v>96</v>
      </c>
      <c r="C80" s="234"/>
      <c r="D80" s="125">
        <f>(D79*(D41+D42+D43+D44+D57+D58+D59+D65)*D81)/(D38+D61+D62+D63+D64)</f>
        <v>0.52575966510836614</v>
      </c>
      <c r="E80" s="178"/>
      <c r="F80" s="56"/>
      <c r="I80" s="126"/>
      <c r="J80" s="56"/>
      <c r="K80" s="56"/>
    </row>
    <row r="81" spans="1:11" x14ac:dyDescent="0.3">
      <c r="A81" s="227"/>
      <c r="B81" s="232" t="s">
        <v>65</v>
      </c>
      <c r="C81" s="232"/>
      <c r="D81" s="127">
        <f>1/(1+D79)</f>
        <v>0.73000000000000009</v>
      </c>
      <c r="E81" s="179"/>
      <c r="F81" s="124"/>
      <c r="I81" s="126"/>
      <c r="J81" s="124"/>
      <c r="K81" s="124"/>
    </row>
    <row r="82" spans="1:11" ht="15" thickBot="1" x14ac:dyDescent="0.35">
      <c r="A82" s="227"/>
      <c r="B82" s="233" t="s">
        <v>66</v>
      </c>
      <c r="C82" s="234"/>
      <c r="D82" s="128">
        <f>(D41/$C$10+D42/$E$10+D43/D35+D61+D62+D63)/(D38+D61+D62+D63+D64)</f>
        <v>0.47424033489163375</v>
      </c>
      <c r="E82" s="180"/>
      <c r="F82" s="124"/>
      <c r="I82" s="126"/>
      <c r="J82" s="124"/>
      <c r="K82" s="124"/>
    </row>
    <row r="83" spans="1:11" x14ac:dyDescent="0.3">
      <c r="A83" s="227"/>
      <c r="B83" s="235" t="s">
        <v>67</v>
      </c>
      <c r="C83" s="236"/>
      <c r="D83" s="129">
        <f>(D42+D58)/(D41+D60+D42+D58)</f>
        <v>0</v>
      </c>
      <c r="E83" s="179"/>
      <c r="F83" s="124"/>
      <c r="I83" s="126"/>
      <c r="J83" s="124"/>
      <c r="K83" s="124"/>
    </row>
    <row r="84" spans="1:11" x14ac:dyDescent="0.3">
      <c r="A84" s="227"/>
      <c r="B84" s="237" t="s">
        <v>68</v>
      </c>
      <c r="C84" s="238"/>
      <c r="D84" s="130">
        <f>(D42/$E$10+D62)/(D42/$E$10+D41/$C$10+D61+D62)</f>
        <v>0</v>
      </c>
      <c r="E84" s="179"/>
      <c r="F84" s="124"/>
      <c r="I84" s="121"/>
      <c r="J84" s="124"/>
      <c r="K84" s="124"/>
    </row>
    <row r="85" spans="1:11" ht="15" thickBot="1" x14ac:dyDescent="0.35">
      <c r="A85" s="227"/>
      <c r="B85" s="239" t="s">
        <v>69</v>
      </c>
      <c r="C85" s="240"/>
      <c r="D85" s="131">
        <f>(D42/$E$10+D62)/(D38+D61+D62+D63+D64)</f>
        <v>0</v>
      </c>
      <c r="E85" s="192"/>
      <c r="F85" s="132"/>
      <c r="I85" s="133"/>
      <c r="J85" s="132"/>
      <c r="K85" s="132"/>
    </row>
    <row r="86" spans="1:11" ht="15" thickBot="1" x14ac:dyDescent="0.35">
      <c r="A86" s="227"/>
      <c r="B86" s="241" t="s">
        <v>70</v>
      </c>
      <c r="C86" s="242"/>
      <c r="D86" s="134">
        <f>(D36*(D38+D61+D62+D63+D64)/(D39+D58+D60+D65))-1</f>
        <v>1.1086354880136988</v>
      </c>
      <c r="E86" s="181"/>
      <c r="F86" s="60"/>
      <c r="I86" s="121"/>
      <c r="J86" s="60"/>
      <c r="K86" s="60"/>
    </row>
    <row r="87" spans="1:11" x14ac:dyDescent="0.3">
      <c r="A87" s="227"/>
      <c r="B87" s="243" t="s">
        <v>71</v>
      </c>
      <c r="C87" s="244"/>
      <c r="D87" s="135">
        <f>D36*D79/D86</f>
        <v>0.99999999999999956</v>
      </c>
      <c r="E87" s="182"/>
      <c r="F87" s="136"/>
      <c r="I87" s="121"/>
      <c r="J87" s="136"/>
      <c r="K87" s="136"/>
    </row>
    <row r="88" spans="1:11" ht="15" thickBot="1" x14ac:dyDescent="0.35">
      <c r="A88" s="227"/>
      <c r="B88" s="222" t="s">
        <v>72</v>
      </c>
      <c r="C88" s="223"/>
      <c r="D88" s="65">
        <f>D86/(1+D86)</f>
        <v>0.52575966510836625</v>
      </c>
      <c r="E88" s="173"/>
      <c r="F88" s="137"/>
      <c r="I88" s="126"/>
      <c r="J88" s="137"/>
      <c r="K88" s="137"/>
    </row>
    <row r="89" spans="1:11" x14ac:dyDescent="0.3">
      <c r="A89" s="227"/>
      <c r="B89" s="216" t="s">
        <v>73</v>
      </c>
      <c r="C89" s="216"/>
      <c r="D89" s="129">
        <f>(D43+D65)/(D41+D42+D58+D60)</f>
        <v>0.05</v>
      </c>
      <c r="E89" s="179"/>
      <c r="F89" s="138"/>
      <c r="I89" s="126"/>
      <c r="J89" s="138"/>
      <c r="K89" s="138"/>
    </row>
    <row r="90" spans="1:11" x14ac:dyDescent="0.3">
      <c r="A90" s="227"/>
      <c r="B90" s="217" t="s">
        <v>74</v>
      </c>
      <c r="C90" s="217"/>
      <c r="D90" s="130">
        <f>D89*(D34/D35)</f>
        <v>5.0903119868637117E-2</v>
      </c>
      <c r="E90" s="179"/>
      <c r="F90" s="138"/>
      <c r="I90" s="126"/>
      <c r="J90" s="138"/>
      <c r="K90" s="138"/>
    </row>
    <row r="91" spans="1:11" x14ac:dyDescent="0.3">
      <c r="A91" s="227"/>
      <c r="B91" s="212" t="s">
        <v>97</v>
      </c>
      <c r="C91" s="213"/>
      <c r="D91" s="139">
        <f>D93*(1+D79)</f>
        <v>1.9472580189198747</v>
      </c>
      <c r="E91" s="183"/>
      <c r="F91" s="140"/>
      <c r="I91" s="126"/>
      <c r="J91" s="141"/>
      <c r="K91" s="141"/>
    </row>
    <row r="92" spans="1:11" ht="15" thickBot="1" x14ac:dyDescent="0.35">
      <c r="A92" s="227"/>
      <c r="B92" s="218" t="s">
        <v>75</v>
      </c>
      <c r="C92" s="219"/>
      <c r="D92" s="142">
        <f>D91*9.81</f>
        <v>19.102601165603971</v>
      </c>
      <c r="E92" s="172"/>
      <c r="F92" s="143"/>
      <c r="J92" s="143"/>
      <c r="K92" s="143"/>
    </row>
    <row r="93" spans="1:11" x14ac:dyDescent="0.3">
      <c r="A93" s="227"/>
      <c r="B93" s="220" t="s">
        <v>98</v>
      </c>
      <c r="C93" s="221"/>
      <c r="D93" s="139">
        <f>D95/(1+D86)</f>
        <v>1.4214983538115087</v>
      </c>
      <c r="E93" s="183"/>
      <c r="F93" s="143"/>
      <c r="I93" s="126"/>
      <c r="J93" s="143"/>
      <c r="K93" s="143"/>
    </row>
    <row r="94" spans="1:11" x14ac:dyDescent="0.3">
      <c r="A94" s="227"/>
      <c r="B94" s="214" t="s">
        <v>76</v>
      </c>
      <c r="C94" s="215"/>
      <c r="D94" s="57">
        <f>D93*9.81</f>
        <v>13.944898850890901</v>
      </c>
      <c r="E94" s="172"/>
      <c r="F94" s="140"/>
      <c r="G94" s="140"/>
      <c r="H94" s="140"/>
      <c r="I94" s="140"/>
      <c r="J94" s="140"/>
      <c r="K94" s="140"/>
    </row>
    <row r="95" spans="1:11" x14ac:dyDescent="0.3">
      <c r="A95" s="227"/>
      <c r="B95" s="212" t="s">
        <v>99</v>
      </c>
      <c r="C95" s="213"/>
      <c r="D95" s="139">
        <f>(1+D89)/(1/D34+D89/D35)</f>
        <v>2.9974218750000001</v>
      </c>
      <c r="E95" s="183"/>
      <c r="F95" s="144"/>
      <c r="G95" s="144"/>
      <c r="H95" s="144"/>
      <c r="I95" s="144"/>
      <c r="J95" s="144"/>
      <c r="K95" s="144"/>
    </row>
    <row r="96" spans="1:11" x14ac:dyDescent="0.3">
      <c r="A96" s="228"/>
      <c r="B96" s="214" t="s">
        <v>77</v>
      </c>
      <c r="C96" s="215"/>
      <c r="D96" s="57">
        <f>D95*9.81</f>
        <v>29.404708593750001</v>
      </c>
      <c r="E96" s="172"/>
      <c r="F96" s="140"/>
      <c r="G96" s="140"/>
      <c r="H96" s="140"/>
      <c r="I96" s="140"/>
      <c r="J96" s="140"/>
      <c r="K96" s="140"/>
    </row>
  </sheetData>
  <mergeCells count="70">
    <mergeCell ref="B18:C18"/>
    <mergeCell ref="C4:D4"/>
    <mergeCell ref="C5:D5"/>
    <mergeCell ref="C6:D6"/>
    <mergeCell ref="B16:C16"/>
    <mergeCell ref="B17:C17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73:C73"/>
    <mergeCell ref="B49:C49"/>
    <mergeCell ref="B50:C50"/>
    <mergeCell ref="B51:B56"/>
    <mergeCell ref="A57:A71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B71"/>
    <mergeCell ref="B72:C72"/>
    <mergeCell ref="B88:C88"/>
    <mergeCell ref="B74:C74"/>
    <mergeCell ref="B75:C75"/>
    <mergeCell ref="A76:A96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95:C95"/>
    <mergeCell ref="B96:C96"/>
    <mergeCell ref="B89:C89"/>
    <mergeCell ref="B90:C90"/>
    <mergeCell ref="B91:C91"/>
    <mergeCell ref="B92:C92"/>
    <mergeCell ref="B93:C93"/>
    <mergeCell ref="B94:C9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BC79-E963-49A3-B930-EF920BE717CE}">
  <dimension ref="A1:J35"/>
  <sheetViews>
    <sheetView zoomScaleNormal="100" workbookViewId="0">
      <selection activeCell="F19" sqref="F19"/>
    </sheetView>
  </sheetViews>
  <sheetFormatPr baseColWidth="10" defaultRowHeight="14.4" x14ac:dyDescent="0.3"/>
  <sheetData>
    <row r="1" spans="1:10" ht="15" thickBot="1" x14ac:dyDescent="0.35"/>
    <row r="2" spans="1:10" x14ac:dyDescent="0.3">
      <c r="B2" s="320" t="str">
        <f>'Calculs ingredients (en gr)'!B4</f>
        <v># Projet</v>
      </c>
      <c r="C2" s="321"/>
      <c r="D2" s="145">
        <f>'Calculs ingredients (en gr)'!C4</f>
        <v>0</v>
      </c>
    </row>
    <row r="3" spans="1:10" x14ac:dyDescent="0.3">
      <c r="B3" s="322" t="str">
        <f>'Calculs ingredients (en gr)'!B5</f>
        <v>Opérateur</v>
      </c>
      <c r="C3" s="317"/>
      <c r="D3" s="146">
        <f>'Calculs ingredients (en gr)'!C5</f>
        <v>0</v>
      </c>
    </row>
    <row r="4" spans="1:10" x14ac:dyDescent="0.3">
      <c r="B4" s="323" t="str">
        <f>'Calculs ingredients (en gr)'!B6</f>
        <v>Date</v>
      </c>
      <c r="C4" s="324"/>
      <c r="D4" s="147"/>
      <c r="E4" s="148"/>
      <c r="F4" s="148"/>
      <c r="G4" s="148"/>
      <c r="H4" s="148"/>
    </row>
    <row r="5" spans="1:10" x14ac:dyDescent="0.3">
      <c r="A5" s="149"/>
      <c r="B5" s="325" t="str">
        <f>'Calculs ingredients (en gr)'!B9</f>
        <v>Résidus</v>
      </c>
      <c r="C5" s="326"/>
      <c r="D5" s="319" t="str">
        <f>'Calculs ingredients (en gr)'!C9</f>
        <v>Westwood</v>
      </c>
      <c r="E5" s="319"/>
      <c r="F5" s="150" t="str">
        <f>'Calculs ingredients (en gr)'!D9</f>
        <v>Granulats</v>
      </c>
      <c r="G5" s="319">
        <f>'Calculs ingredients (en gr)'!E9</f>
        <v>0</v>
      </c>
      <c r="H5" s="319"/>
      <c r="I5" s="149"/>
      <c r="J5" s="149"/>
    </row>
    <row r="6" spans="1:10" ht="15" thickBot="1" x14ac:dyDescent="0.35">
      <c r="A6" s="149"/>
      <c r="B6" s="327" t="str">
        <f>'Calculs ingredients (en gr)'!B7</f>
        <v>Laboratoire</v>
      </c>
      <c r="C6" s="328"/>
      <c r="D6" s="151">
        <f>'Calculs ingredients (en gr)'!C7</f>
        <v>0</v>
      </c>
      <c r="E6" s="148"/>
      <c r="F6" s="148"/>
      <c r="G6" s="148"/>
      <c r="H6" s="148"/>
      <c r="I6" s="149"/>
      <c r="J6" s="149"/>
    </row>
    <row r="8" spans="1:10" x14ac:dyDescent="0.3">
      <c r="B8" s="316" t="str">
        <f>'Calculs ingredients (en gr)'!B47:C47</f>
        <v>#Batch</v>
      </c>
      <c r="C8" s="316"/>
      <c r="D8" s="152" t="str">
        <f>'Calculs ingredients (en gr)'!D47:E47</f>
        <v>Recette 1</v>
      </c>
    </row>
    <row r="9" spans="1:10" x14ac:dyDescent="0.3">
      <c r="B9" s="329" t="str">
        <f>'Calculs ingredients (en gr)'!B48:C48</f>
        <v>Masse de granulat sec (gr)</v>
      </c>
      <c r="C9" s="329"/>
      <c r="D9" s="153">
        <f>'Calculs ingredients (en gr)'!D48:E48</f>
        <v>0</v>
      </c>
    </row>
    <row r="10" spans="1:10" x14ac:dyDescent="0.3">
      <c r="B10" s="330" t="str">
        <f>'Calculs ingredients (en gr)'!B49:C49</f>
        <v>Masse résidus humides (gr)</v>
      </c>
      <c r="C10" s="330"/>
      <c r="D10" s="154">
        <f>'Calculs ingredients (en gr)'!D49:E49</f>
        <v>3484.8018521880463</v>
      </c>
    </row>
    <row r="11" spans="1:10" x14ac:dyDescent="0.3">
      <c r="B11" s="329" t="str">
        <f>'Calculs ingredients (en gr)'!B50:C50</f>
        <v>masse eau à ajouter (gr)</v>
      </c>
      <c r="C11" s="329"/>
      <c r="D11" s="153">
        <f>'Calculs ingredients (en gr)'!D50:E50</f>
        <v>1353.3442809524806</v>
      </c>
    </row>
    <row r="12" spans="1:10" x14ac:dyDescent="0.3">
      <c r="B12" s="315" t="str">
        <f>'Calculs ingredients (en gr)'!B51:C51</f>
        <v>Masse liants (gr)</v>
      </c>
      <c r="C12" s="205" t="str">
        <f>'Calculs ingredients (en gr)'!C51:D51</f>
        <v>(T10) GU</v>
      </c>
      <c r="D12" s="156">
        <f>'Calculs ingredients (en gr)'!D51:E51</f>
        <v>34.848018521880469</v>
      </c>
    </row>
    <row r="13" spans="1:10" x14ac:dyDescent="0.3">
      <c r="B13" s="315"/>
      <c r="C13" s="204" t="str">
        <f>'Calculs ingredients (en gr)'!C52:D52</f>
        <v>(T50) HS</v>
      </c>
      <c r="D13" s="157">
        <f>'Calculs ingredients (en gr)'!D52:E52</f>
        <v>0</v>
      </c>
    </row>
    <row r="14" spans="1:10" x14ac:dyDescent="0.3">
      <c r="B14" s="315"/>
      <c r="C14" s="205" t="str">
        <f>'Calculs ingredients (en gr)'!C53:D53</f>
        <v>(T30) HE</v>
      </c>
      <c r="D14" s="156">
        <f>'Calculs ingredients (en gr)'!D53:E53</f>
        <v>0</v>
      </c>
    </row>
    <row r="15" spans="1:10" x14ac:dyDescent="0.3">
      <c r="B15" s="315"/>
      <c r="C15" s="204" t="str">
        <f>'Calculs ingredients (en gr)'!C54:D54</f>
        <v>Slag (GGBFS)</v>
      </c>
      <c r="D15" s="157">
        <f>'Calculs ingredients (en gr)'!D54:E54</f>
        <v>139.39207408752188</v>
      </c>
    </row>
    <row r="16" spans="1:10" x14ac:dyDescent="0.3">
      <c r="B16" s="315"/>
      <c r="C16" s="205" t="str">
        <f>'Calculs ingredients (en gr)'!C55:D55</f>
        <v>FA (types C, F)</v>
      </c>
      <c r="D16" s="156">
        <f>'Calculs ingredients (en gr)'!D55:E55</f>
        <v>0</v>
      </c>
    </row>
    <row r="17" spans="1:4" x14ac:dyDescent="0.3">
      <c r="B17" s="315"/>
      <c r="C17" s="204" t="str">
        <f>'Calculs ingredients (en gr)'!C56:D56</f>
        <v>Chaux</v>
      </c>
      <c r="D17" s="157">
        <f>'Calculs ingredients (en gr)'!D56:E56</f>
        <v>0</v>
      </c>
    </row>
    <row r="18" spans="1:4" x14ac:dyDescent="0.3">
      <c r="B18" s="312" t="str">
        <f>'Calculs ingredients (en gr)'!B57:C57</f>
        <v>Masse/volume eau  ajoutée (gr)</v>
      </c>
      <c r="C18" s="312"/>
      <c r="D18" s="154">
        <f>'Calculs ingredients (en gr)'!D57:E57</f>
        <v>0</v>
      </c>
    </row>
    <row r="19" spans="1:4" x14ac:dyDescent="0.3">
      <c r="B19" s="313" t="str">
        <f>'Calculs ingredients (en gr)'!B58:C58</f>
        <v>Masse de granulat ajouté (gr)</v>
      </c>
      <c r="C19" s="313"/>
      <c r="D19" s="153">
        <f>'Calculs ingredients (en gr)'!D58:E58</f>
        <v>0</v>
      </c>
    </row>
    <row r="20" spans="1:4" x14ac:dyDescent="0.3">
      <c r="B20" s="314" t="str">
        <f>'Calculs ingredients (en gr)'!B60:C60</f>
        <v>M résidus secs ajoutés corresp. (gr)</v>
      </c>
      <c r="C20" s="314"/>
      <c r="D20" s="158">
        <f>'Calculs ingredients (en gr)'!D60:E60</f>
        <v>0</v>
      </c>
    </row>
    <row r="21" spans="1:4" x14ac:dyDescent="0.3">
      <c r="B21" s="313" t="str">
        <f>'Calculs ingredients (en gr)'!B59:C59</f>
        <v xml:space="preserve">M résidus humides ajoutés (gr) </v>
      </c>
      <c r="C21" s="313"/>
      <c r="D21" s="153">
        <f>'Calculs ingredients (en gr)'!D59:E59</f>
        <v>0</v>
      </c>
    </row>
    <row r="22" spans="1:4" x14ac:dyDescent="0.3">
      <c r="A22" s="11" t="s">
        <v>78</v>
      </c>
      <c r="B22" s="312" t="str">
        <f>'Calculs ingredients (en gr)'!B65:C65</f>
        <v>Masse liant à ajouter - ajuster (gr)</v>
      </c>
      <c r="C22" s="312"/>
      <c r="D22" s="154">
        <f>'Calculs ingredients (en gr)'!D65:E65</f>
        <v>0</v>
      </c>
    </row>
    <row r="23" spans="1:4" x14ac:dyDescent="0.3">
      <c r="B23" s="315" t="str">
        <f>'Calculs ingredients (en gr)'!B66:C66</f>
        <v>Masse liants (gr)</v>
      </c>
      <c r="C23" s="204" t="str">
        <f>'Calculs ingredients (en gr)'!C66:D66</f>
        <v>(T10) GU</v>
      </c>
      <c r="D23" s="159">
        <f>'Calculs ingredients (en gr)'!D66:E66</f>
        <v>0</v>
      </c>
    </row>
    <row r="24" spans="1:4" x14ac:dyDescent="0.3">
      <c r="B24" s="315"/>
      <c r="C24" s="205" t="str">
        <f>'Calculs ingredients (en gr)'!C67:D67</f>
        <v>(T50) HS</v>
      </c>
      <c r="D24" s="160">
        <f>'Calculs ingredients (en gr)'!D67:E67</f>
        <v>0</v>
      </c>
    </row>
    <row r="25" spans="1:4" x14ac:dyDescent="0.3">
      <c r="B25" s="315"/>
      <c r="C25" s="204" t="str">
        <f>'Calculs ingredients (en gr)'!C68:D68</f>
        <v>(T30) HE</v>
      </c>
      <c r="D25" s="159">
        <f>'Calculs ingredients (en gr)'!D68:E68</f>
        <v>0</v>
      </c>
    </row>
    <row r="26" spans="1:4" x14ac:dyDescent="0.3">
      <c r="B26" s="315"/>
      <c r="C26" s="205" t="str">
        <f>'Calculs ingredients (en gr)'!C69:D69</f>
        <v>Slag (GGBFS)</v>
      </c>
      <c r="D26" s="160">
        <f>'Calculs ingredients (en gr)'!D69:E69</f>
        <v>0</v>
      </c>
    </row>
    <row r="27" spans="1:4" x14ac:dyDescent="0.3">
      <c r="B27" s="315"/>
      <c r="C27" s="204" t="str">
        <f>'Calculs ingredients (en gr)'!C70:D70</f>
        <v>FA (types C, F)</v>
      </c>
      <c r="D27" s="159">
        <f>'Calculs ingredients (en gr)'!D70:E70</f>
        <v>0</v>
      </c>
    </row>
    <row r="28" spans="1:4" x14ac:dyDescent="0.3">
      <c r="B28" s="315"/>
      <c r="C28" s="205" t="str">
        <f>'Calculs ingredients (en gr)'!C71:D71</f>
        <v>Chaux</v>
      </c>
      <c r="D28" s="160">
        <f>'Calculs ingredients (en gr)'!D71:E71</f>
        <v>0</v>
      </c>
    </row>
    <row r="29" spans="1:4" x14ac:dyDescent="0.3">
      <c r="D29" s="161"/>
    </row>
    <row r="30" spans="1:4" x14ac:dyDescent="0.3">
      <c r="B30" s="316" t="str">
        <f>'Calculs ingredients (en gr)'!B72:C72</f>
        <v>slump mesuré (mm)</v>
      </c>
      <c r="C30" s="316"/>
      <c r="D30" s="154"/>
    </row>
    <row r="31" spans="1:4" x14ac:dyDescent="0.3">
      <c r="B31" s="317" t="str">
        <f>'Calculs ingredients (en gr)'!B73:C73</f>
        <v>tare (gr)</v>
      </c>
      <c r="C31" s="317"/>
      <c r="D31" s="159"/>
    </row>
    <row r="32" spans="1:4" x14ac:dyDescent="0.3">
      <c r="B32" s="318" t="str">
        <f>'Calculs ingredients (en gr)'!B74:C74</f>
        <v>m_humide pâte (gr)</v>
      </c>
      <c r="C32" s="318"/>
      <c r="D32" s="160"/>
    </row>
    <row r="33" spans="2:4" x14ac:dyDescent="0.3">
      <c r="B33" s="317" t="str">
        <f>'Calculs ingredients (en gr)'!B75:C75</f>
        <v>m_sèche pâte (gr)</v>
      </c>
      <c r="C33" s="317"/>
      <c r="D33" s="159"/>
    </row>
    <row r="34" spans="2:4" x14ac:dyDescent="0.3">
      <c r="B34" s="318" t="str">
        <f>'Calculs ingredients (en gr)'!B76:C76</f>
        <v>teneur eau mesurée w(%)</v>
      </c>
      <c r="C34" s="318"/>
      <c r="D34" s="155"/>
    </row>
    <row r="35" spans="2:4" x14ac:dyDescent="0.3">
      <c r="B35" s="311" t="str">
        <f>'Calculs ingredients (en gr)'!B77:C77</f>
        <v>% solide massique mesuré Cw(%)</v>
      </c>
      <c r="C35" s="311"/>
      <c r="D35" s="155"/>
    </row>
  </sheetData>
  <mergeCells count="24">
    <mergeCell ref="D5:E5"/>
    <mergeCell ref="G5:H5"/>
    <mergeCell ref="B12:B17"/>
    <mergeCell ref="B2:C2"/>
    <mergeCell ref="B3:C3"/>
    <mergeCell ref="B4:C4"/>
    <mergeCell ref="B5:C5"/>
    <mergeCell ref="B6:C6"/>
    <mergeCell ref="B8:C8"/>
    <mergeCell ref="B9:C9"/>
    <mergeCell ref="B10:C10"/>
    <mergeCell ref="B11:C11"/>
    <mergeCell ref="B35:C35"/>
    <mergeCell ref="B18:C18"/>
    <mergeCell ref="B19:C19"/>
    <mergeCell ref="B20:C20"/>
    <mergeCell ref="B21:C21"/>
    <mergeCell ref="B22:C22"/>
    <mergeCell ref="B23:B28"/>
    <mergeCell ref="B30:C30"/>
    <mergeCell ref="B31:C31"/>
    <mergeCell ref="B32:C32"/>
    <mergeCell ref="B33:C33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Calculs ingredients (en gr)</vt:lpstr>
      <vt:lpstr>Synthese calculs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Tikou Belem</dc:creator>
  <cp:lastModifiedBy>Tikou Belem</cp:lastModifiedBy>
  <dcterms:created xsi:type="dcterms:W3CDTF">2018-04-02T16:44:04Z</dcterms:created>
  <dcterms:modified xsi:type="dcterms:W3CDTF">2018-04-02T21:42:52Z</dcterms:modified>
</cp:coreProperties>
</file>