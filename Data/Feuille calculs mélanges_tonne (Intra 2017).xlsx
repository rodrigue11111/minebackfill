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qat-my.sharepoint.com/personal/belemt_uqat_ca/Documents/Dossier Z/Notes de cours/Cours GNM1002/GNM1002 Remblais miniers/"/>
    </mc:Choice>
  </mc:AlternateContent>
  <xr:revisionPtr revIDLastSave="0" documentId="8_{98218244-6097-4B5F-BE6F-22B459FB17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lculs cremblai-granulats" sheetId="2" r:id="rId1"/>
    <sheet name="feuille préparation mélanges" sheetId="3" r:id="rId2"/>
  </sheets>
  <definedNames>
    <definedName name="_xlnm.Print_Area" localSheetId="1">'feuille préparation mélanges'!$B$2:$D$8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6" i="2" l="1"/>
  <c r="D79" i="2"/>
  <c r="D40" i="2"/>
  <c r="H66" i="2"/>
  <c r="I56" i="2"/>
  <c r="H64" i="2"/>
  <c r="H67" i="2" l="1"/>
  <c r="D21" i="2"/>
  <c r="I74" i="2" l="1"/>
  <c r="I75" i="2" s="1"/>
  <c r="I73" i="2"/>
  <c r="I70" i="2"/>
  <c r="K63" i="2"/>
  <c r="K59" i="2"/>
  <c r="K57" i="2"/>
  <c r="E35" i="2" l="1"/>
  <c r="H11" i="2" l="1"/>
  <c r="C11" i="2"/>
  <c r="D37" i="2"/>
  <c r="D38" i="2" s="1"/>
  <c r="G46" i="2"/>
  <c r="G47" i="2" s="1"/>
  <c r="H12" i="2" l="1"/>
  <c r="D34" i="2" l="1"/>
  <c r="D35" i="2"/>
  <c r="D36" i="2" l="1"/>
  <c r="K62" i="2"/>
  <c r="F19" i="2"/>
  <c r="D39" i="2" l="1"/>
  <c r="H70" i="2"/>
  <c r="I43" i="2"/>
  <c r="I45" i="2" s="1"/>
  <c r="H65" i="2"/>
  <c r="H68" i="2"/>
  <c r="H69" i="2" s="1"/>
  <c r="D42" i="2"/>
  <c r="F30" i="2"/>
  <c r="F32" i="2" s="1"/>
  <c r="E30" i="2" s="1"/>
  <c r="E32" i="2" s="1"/>
  <c r="D44" i="2" l="1"/>
  <c r="G60" i="2" s="1"/>
  <c r="D41" i="2"/>
  <c r="D43" i="2"/>
  <c r="G57" i="2" s="1"/>
  <c r="F44" i="2"/>
  <c r="D25" i="2"/>
  <c r="D24" i="2"/>
  <c r="D26" i="2"/>
  <c r="D45" i="2"/>
  <c r="G61" i="2" s="1"/>
  <c r="D62" i="2"/>
  <c r="M12" i="2"/>
  <c r="G56" i="2" l="1"/>
  <c r="E41" i="2"/>
  <c r="B8" i="3"/>
  <c r="B34" i="3"/>
  <c r="B35" i="3"/>
  <c r="D77" i="2"/>
  <c r="D76" i="2"/>
  <c r="B33" i="3"/>
  <c r="B31" i="3"/>
  <c r="B32" i="3"/>
  <c r="B30" i="3"/>
  <c r="B23" i="3"/>
  <c r="B22" i="3"/>
  <c r="B20" i="3"/>
  <c r="B19" i="3"/>
  <c r="D19" i="3"/>
  <c r="B21" i="3"/>
  <c r="D21" i="3"/>
  <c r="D18" i="3"/>
  <c r="B18" i="3"/>
  <c r="B12" i="3"/>
  <c r="B10" i="3"/>
  <c r="B11" i="3"/>
  <c r="B9" i="3"/>
  <c r="G5" i="3"/>
  <c r="F5" i="3"/>
  <c r="D47" i="2"/>
  <c r="D8" i="3" s="1"/>
  <c r="F18" i="2" l="1"/>
  <c r="G18" i="2"/>
  <c r="F17" i="2"/>
  <c r="D48" i="2" l="1"/>
  <c r="D9" i="3" s="1"/>
  <c r="D50" i="2"/>
  <c r="F42" i="2"/>
  <c r="D11" i="3" l="1"/>
  <c r="G62" i="2"/>
  <c r="D51" i="2"/>
  <c r="G58" i="2" s="1"/>
  <c r="D46" i="2"/>
  <c r="C12" i="2"/>
  <c r="C71" i="2"/>
  <c r="C28" i="3" s="1"/>
  <c r="C70" i="2"/>
  <c r="C27" i="3" s="1"/>
  <c r="C69" i="2"/>
  <c r="C26" i="3" s="1"/>
  <c r="C68" i="2"/>
  <c r="C25" i="3" s="1"/>
  <c r="C52" i="2"/>
  <c r="C13" i="3" s="1"/>
  <c r="C53" i="2"/>
  <c r="C14" i="3" s="1"/>
  <c r="C54" i="2"/>
  <c r="C15" i="3" s="1"/>
  <c r="C55" i="2"/>
  <c r="C16" i="3" s="1"/>
  <c r="C56" i="2"/>
  <c r="C17" i="3" s="1"/>
  <c r="C51" i="2"/>
  <c r="C12" i="3" s="1"/>
  <c r="D12" i="3" l="1"/>
  <c r="D60" i="2"/>
  <c r="D49" i="2"/>
  <c r="D10" i="3" l="1"/>
  <c r="G53" i="2"/>
  <c r="D83" i="2"/>
  <c r="D65" i="2"/>
  <c r="D64" i="2"/>
  <c r="D20" i="3"/>
  <c r="D61" i="2"/>
  <c r="D84" i="2" s="1"/>
  <c r="D63" i="2" l="1"/>
  <c r="D22" i="3"/>
  <c r="D85" i="2"/>
  <c r="D89" i="2"/>
  <c r="G55" i="2"/>
  <c r="D78" i="2"/>
  <c r="G63" i="2" s="1"/>
  <c r="D69" i="2"/>
  <c r="D26" i="3" s="1"/>
  <c r="D68" i="2"/>
  <c r="D25" i="3" s="1"/>
  <c r="D71" i="2"/>
  <c r="D28" i="3" s="1"/>
  <c r="D67" i="2"/>
  <c r="D24" i="3" s="1"/>
  <c r="D70" i="2"/>
  <c r="D27" i="3" s="1"/>
  <c r="D66" i="2"/>
  <c r="D23" i="3" s="1"/>
  <c r="J68" i="2" l="1"/>
  <c r="J69" i="2" s="1"/>
  <c r="J71" i="2" s="1"/>
  <c r="H55" i="2"/>
  <c r="H56" i="2"/>
  <c r="D82" i="2"/>
  <c r="G65" i="2" s="1"/>
  <c r="D87" i="2"/>
  <c r="D81" i="2"/>
  <c r="D80" i="2" s="1"/>
  <c r="D90" i="2"/>
  <c r="D95" i="2"/>
  <c r="D3" i="3"/>
  <c r="D2" i="3"/>
  <c r="C67" i="2"/>
  <c r="C24" i="3" s="1"/>
  <c r="C66" i="2"/>
  <c r="C23" i="3" s="1"/>
  <c r="D93" i="2" l="1"/>
  <c r="G64" i="2" s="1"/>
  <c r="J70" i="2"/>
  <c r="H61" i="2"/>
  <c r="H57" i="2"/>
  <c r="D88" i="2"/>
  <c r="G69" i="2" s="1"/>
  <c r="G68" i="2"/>
  <c r="G70" i="2"/>
  <c r="D96" i="2"/>
  <c r="D5" i="3"/>
  <c r="D6" i="3"/>
  <c r="B6" i="3"/>
  <c r="B5" i="3"/>
  <c r="B3" i="3"/>
  <c r="B4" i="3"/>
  <c r="B2" i="3"/>
  <c r="H60" i="2" l="1"/>
  <c r="H63" i="2" s="1"/>
  <c r="K58" i="2"/>
  <c r="K60" i="2" s="1"/>
  <c r="H59" i="2"/>
  <c r="H58" i="2"/>
  <c r="D91" i="2"/>
  <c r="D94" i="2"/>
  <c r="G67" i="2" s="1"/>
  <c r="H62" i="2" l="1"/>
  <c r="D92" i="2"/>
  <c r="G66" i="2" s="1"/>
  <c r="I44" i="2"/>
  <c r="D52" i="2"/>
  <c r="D13" i="3" s="1"/>
  <c r="D54" i="2"/>
  <c r="G59" i="2" s="1"/>
  <c r="L58" i="2" s="1"/>
  <c r="D53" i="2"/>
  <c r="D14" i="3" s="1"/>
  <c r="D56" i="2"/>
  <c r="D17" i="3" s="1"/>
  <c r="D55" i="2"/>
  <c r="D16" i="3" s="1"/>
  <c r="D15" i="3" l="1"/>
  <c r="F51" i="2"/>
  <c r="F52" i="2" s="1"/>
</calcChain>
</file>

<file path=xl/sharedStrings.xml><?xml version="1.0" encoding="utf-8"?>
<sst xmlns="http://schemas.openxmlformats.org/spreadsheetml/2006/main" count="151" uniqueCount="147">
  <si>
    <t>tare</t>
  </si>
  <si>
    <t>teneur en eau</t>
  </si>
  <si>
    <t># Projet</t>
  </si>
  <si>
    <t>% solide</t>
  </si>
  <si>
    <t>Opérateur</t>
  </si>
  <si>
    <t>Date</t>
  </si>
  <si>
    <t>#URSTM</t>
  </si>
  <si>
    <t>Calcul</t>
  </si>
  <si>
    <t xml:space="preserve">note: </t>
  </si>
  <si>
    <t>Mélange 1</t>
  </si>
  <si>
    <t>diam. moule (pouce)</t>
  </si>
  <si>
    <t>nb. moules</t>
  </si>
  <si>
    <t>facteur de sécurité (%)</t>
  </si>
  <si>
    <t>#Batch</t>
  </si>
  <si>
    <t>tare (g)</t>
  </si>
  <si>
    <t>Ajout au cours du mélange</t>
  </si>
  <si>
    <t>paramètres géotechniques</t>
  </si>
  <si>
    <t>H. moule (pouce)</t>
  </si>
  <si>
    <t>Pour les mélanges suivants, ajuster en fonction des résultats obtenus.</t>
  </si>
  <si>
    <t>proportion de liant (%)</t>
  </si>
  <si>
    <t>degré de saturation initial(%)</t>
  </si>
  <si>
    <t># Batch URSTM</t>
  </si>
  <si>
    <t>(T10) GU</t>
  </si>
  <si>
    <t>(T50) HS</t>
  </si>
  <si>
    <t>Chaux</t>
  </si>
  <si>
    <t>(T30) HE</t>
  </si>
  <si>
    <t>Slag (GGBFS)</t>
  </si>
  <si>
    <t>FA (types C, F)</t>
  </si>
  <si>
    <t>GS résidus</t>
  </si>
  <si>
    <t>slump mesuré (mm)</t>
  </si>
  <si>
    <t>m_h pâte (g)</t>
  </si>
  <si>
    <t>m_s pâte (g)</t>
  </si>
  <si>
    <t>tare + mh</t>
  </si>
  <si>
    <t>tare + ms</t>
  </si>
  <si>
    <t>teneur eau mass. calculée (%)</t>
  </si>
  <si>
    <t>%liant massique final Bw</t>
  </si>
  <si>
    <t>%liant volumique final Bv</t>
  </si>
  <si>
    <t>Résidus</t>
  </si>
  <si>
    <t>Granulat</t>
  </si>
  <si>
    <t>concassé LaRonde</t>
  </si>
  <si>
    <t>Gs granulat</t>
  </si>
  <si>
    <t>*obtenue généralement à 50°C après 48h ou à 105°C après 24h</t>
  </si>
  <si>
    <t>Gs pâte (résidus+granulat+liant)</t>
  </si>
  <si>
    <t xml:space="preserve">% solide initial avec granulat </t>
  </si>
  <si>
    <t>Masse liant à ajouter - ajuster (g)</t>
  </si>
  <si>
    <t>% solide massique pâte Cw (%)</t>
  </si>
  <si>
    <t>% solide volumique pâte Cv (%)</t>
  </si>
  <si>
    <t>eau/liant final ou W/C final</t>
  </si>
  <si>
    <t>Eau/Liant initial ou W/C initial</t>
  </si>
  <si>
    <t>γd remblai final (kN/m³)</t>
  </si>
  <si>
    <t>γh remblai final (kN/m³)</t>
  </si>
  <si>
    <t>γs remblai final (kN/m³)</t>
  </si>
  <si>
    <t>teneur eau mesurée w(%)</t>
  </si>
  <si>
    <t>% solide massique mesuré Cw(%)</t>
  </si>
  <si>
    <t>ajustement</t>
  </si>
  <si>
    <r>
      <t xml:space="preserve">               le pourcentage solide massique initial du mélange (C</t>
    </r>
    <r>
      <rPr>
        <b/>
        <vertAlign val="subscript"/>
        <sz val="16"/>
        <color rgb="FF0070C0"/>
        <rFont val="Arial Narrow"/>
        <family val="2"/>
      </rPr>
      <t>w%</t>
    </r>
    <r>
      <rPr>
        <b/>
        <sz val="16"/>
        <color rgb="FF0070C0"/>
        <rFont val="Arial Narrow"/>
        <family val="2"/>
      </rPr>
      <t>)</t>
    </r>
  </si>
  <si>
    <r>
      <t xml:space="preserve">               Feuille de calcul des mélanges de remblai en pâte </t>
    </r>
    <r>
      <rPr>
        <b/>
        <sz val="16"/>
        <color rgb="FFC00000"/>
        <rFont val="Arial Narrow"/>
        <family val="2"/>
      </rPr>
      <t>+ granulat conscassé</t>
    </r>
    <r>
      <rPr>
        <b/>
        <sz val="16"/>
        <color rgb="FF0070C0"/>
        <rFont val="Arial Narrow"/>
        <family val="2"/>
      </rPr>
      <t xml:space="preserve"> au laboratoire en fixant</t>
    </r>
  </si>
  <si>
    <t>Granulat considéré comme substitut aux résidus</t>
  </si>
  <si>
    <t>texte noir, cases mauves à remplir par l'opérateur</t>
  </si>
  <si>
    <t>Texte rouge, case brune: peut être modifié par l'opérateur au besoin</t>
  </si>
  <si>
    <r>
      <t xml:space="preserve">teneur eau vol. calculée, </t>
    </r>
    <r>
      <rPr>
        <sz val="11"/>
        <color theme="1"/>
        <rFont val="Symbol"/>
        <family val="1"/>
        <charset val="2"/>
      </rPr>
      <t>q</t>
    </r>
  </si>
  <si>
    <r>
      <t xml:space="preserve">indice des vides final, </t>
    </r>
    <r>
      <rPr>
        <sz val="11"/>
        <color rgb="FFFF0000"/>
        <rFont val="Calibri"/>
        <family val="2"/>
        <scheme val="minor"/>
      </rPr>
      <t>e0</t>
    </r>
  </si>
  <si>
    <r>
      <t xml:space="preserve">degré de saturation final </t>
    </r>
    <r>
      <rPr>
        <sz val="11"/>
        <color rgb="FFFF0000"/>
        <rFont val="Calibri"/>
        <family val="2"/>
        <scheme val="minor"/>
      </rPr>
      <t>Sr</t>
    </r>
    <r>
      <rPr>
        <sz val="11"/>
        <color theme="0"/>
        <rFont val="Calibri"/>
        <family val="2"/>
        <scheme val="minor"/>
      </rPr>
      <t xml:space="preserve"> (%)</t>
    </r>
  </si>
  <si>
    <r>
      <t xml:space="preserve">porosité finale, </t>
    </r>
    <r>
      <rPr>
        <sz val="11"/>
        <color rgb="FFFF0000"/>
        <rFont val="Calibri"/>
        <family val="2"/>
        <scheme val="minor"/>
      </rPr>
      <t>n0</t>
    </r>
  </si>
  <si>
    <t>Toutes les autres cases ne doivemt pas être modifiées (formules de calculs)</t>
  </si>
  <si>
    <t xml:space="preserve">Pour un mélange à slump constant, ils est conseillé de partir d'1 %solide de 80%  </t>
  </si>
  <si>
    <t>Gs résidus + granulat (t/cc)</t>
  </si>
  <si>
    <t>Gs-liant composé (t/cc)</t>
  </si>
  <si>
    <r>
      <t xml:space="preserve">Volume </t>
    </r>
    <r>
      <rPr>
        <b/>
        <sz val="11"/>
        <color rgb="FFFF0000"/>
        <rFont val="Calibri"/>
        <family val="2"/>
        <scheme val="minor"/>
      </rPr>
      <t>total</t>
    </r>
    <r>
      <rPr>
        <b/>
        <sz val="11"/>
        <color theme="1"/>
        <rFont val="Calibri"/>
        <family val="2"/>
        <scheme val="minor"/>
      </rPr>
      <t xml:space="preserve"> pâte </t>
    </r>
    <r>
      <rPr>
        <b/>
        <sz val="11"/>
        <color rgb="FFFF0000"/>
        <rFont val="Calibri"/>
        <family val="2"/>
        <scheme val="minor"/>
      </rPr>
      <t>V</t>
    </r>
    <r>
      <rPr>
        <b/>
        <vertAlign val="subscript"/>
        <sz val="11"/>
        <color rgb="FFFF0000"/>
        <rFont val="Calibri"/>
        <family val="2"/>
        <scheme val="minor"/>
      </rPr>
      <t>T</t>
    </r>
    <r>
      <rPr>
        <b/>
        <sz val="11"/>
        <color theme="1"/>
        <rFont val="Calibri"/>
        <family val="2"/>
        <scheme val="minor"/>
      </rPr>
      <t xml:space="preserve"> (m³)</t>
    </r>
  </si>
  <si>
    <r>
      <t xml:space="preserve">Masse solide calc. </t>
    </r>
    <r>
      <rPr>
        <b/>
        <sz val="11"/>
        <color rgb="FFFF0000"/>
        <rFont val="Calibri"/>
        <family val="2"/>
        <scheme val="minor"/>
      </rPr>
      <t>Md</t>
    </r>
    <r>
      <rPr>
        <b/>
        <sz val="11"/>
        <color theme="1"/>
        <rFont val="Calibri"/>
        <family val="2"/>
        <scheme val="minor"/>
      </rPr>
      <t xml:space="preserve"> (t)</t>
    </r>
  </si>
  <si>
    <t>Volume contenant  (m³)</t>
  </si>
  <si>
    <t>Masse sèche résidus Ms-t (t)</t>
  </si>
  <si>
    <t>Masse sèche granulat Ms-g (t)</t>
  </si>
  <si>
    <t>masse totale eau Mw (t)</t>
  </si>
  <si>
    <t>Masse eau résidus (t)</t>
  </si>
  <si>
    <t>résidus Casa Berardi</t>
  </si>
  <si>
    <t>densité stérile LaRonde</t>
  </si>
  <si>
    <t>tonnage remblai en pâte (t)</t>
  </si>
  <si>
    <t>%m granulat p/r résidus secs (%)</t>
  </si>
  <si>
    <t>%vol. granulat p/r remblai (%)</t>
  </si>
  <si>
    <t>%vol. granulat p/r résidus secs (%)</t>
  </si>
  <si>
    <r>
      <t xml:space="preserve">volume </t>
    </r>
    <r>
      <rPr>
        <b/>
        <sz val="10"/>
        <color theme="9" tint="-0.499984740745262"/>
        <rFont val="Calibri"/>
        <family val="2"/>
        <scheme val="minor"/>
      </rPr>
      <t>résidus</t>
    </r>
    <r>
      <rPr>
        <sz val="10"/>
        <color theme="9" tint="-0.499984740745262"/>
        <rFont val="Calibri"/>
        <family val="2"/>
        <scheme val="minor"/>
      </rPr>
      <t xml:space="preserve"> corresp. (m^3)</t>
    </r>
  </si>
  <si>
    <r>
      <t xml:space="preserve">volume </t>
    </r>
    <r>
      <rPr>
        <b/>
        <sz val="10"/>
        <color theme="9" tint="-0.499984740745262"/>
        <rFont val="Calibri"/>
        <family val="2"/>
        <scheme val="minor"/>
      </rPr>
      <t>granulat</t>
    </r>
    <r>
      <rPr>
        <sz val="10"/>
        <color theme="9" tint="-0.499984740745262"/>
        <rFont val="Calibri"/>
        <family val="2"/>
        <scheme val="minor"/>
      </rPr>
      <t xml:space="preserve"> corresp. (m^3)</t>
    </r>
  </si>
  <si>
    <r>
      <t xml:space="preserve">volume de </t>
    </r>
    <r>
      <rPr>
        <b/>
        <sz val="10"/>
        <color theme="9" tint="-0.499984740745262"/>
        <rFont val="Calibri"/>
        <family val="2"/>
        <scheme val="minor"/>
      </rPr>
      <t>liant</t>
    </r>
    <r>
      <rPr>
        <sz val="10"/>
        <color theme="9" tint="-0.499984740745262"/>
        <rFont val="Calibri"/>
        <family val="2"/>
        <scheme val="minor"/>
      </rPr>
      <t xml:space="preserve"> corresp. (m^3)</t>
    </r>
  </si>
  <si>
    <r>
      <t xml:space="preserve">masse/volume </t>
    </r>
    <r>
      <rPr>
        <b/>
        <sz val="9"/>
        <color theme="9" tint="-0.499984740745262"/>
        <rFont val="Calibri"/>
        <family val="2"/>
        <scheme val="minor"/>
      </rPr>
      <t>eau</t>
    </r>
    <r>
      <rPr>
        <sz val="9"/>
        <color theme="9" tint="-0.499984740745262"/>
        <rFont val="Calibri"/>
        <family val="2"/>
        <scheme val="minor"/>
      </rPr>
      <t xml:space="preserve"> corresp. (m^3)</t>
    </r>
  </si>
  <si>
    <r>
      <rPr>
        <sz val="11"/>
        <rFont val="Calibri"/>
        <family val="2"/>
      </rPr>
      <t xml:space="preserve">ρs </t>
    </r>
    <r>
      <rPr>
        <sz val="11"/>
        <rFont val="Calibri"/>
        <family val="2"/>
        <scheme val="minor"/>
      </rPr>
      <t>remblai final (t/m³)</t>
    </r>
  </si>
  <si>
    <r>
      <rPr>
        <sz val="11"/>
        <rFont val="Calibri"/>
        <family val="2"/>
      </rPr>
      <t xml:space="preserve">ρd </t>
    </r>
    <r>
      <rPr>
        <sz val="11"/>
        <rFont val="Calibri"/>
        <family val="2"/>
        <scheme val="minor"/>
      </rPr>
      <t xml:space="preserve"> remblai final (t/m³)</t>
    </r>
  </si>
  <si>
    <r>
      <rPr>
        <sz val="11"/>
        <rFont val="Calibri"/>
        <family val="2"/>
      </rPr>
      <t>ρh remblai final</t>
    </r>
    <r>
      <rPr>
        <sz val="11"/>
        <rFont val="Calibri"/>
        <family val="2"/>
        <scheme val="minor"/>
      </rPr>
      <t xml:space="preserve"> (t/m³)</t>
    </r>
  </si>
  <si>
    <t>%m granulat p/r résidus final(%)</t>
  </si>
  <si>
    <t>%vol. granulat p/r résidus final (%)</t>
  </si>
  <si>
    <t>%vol. granulat p/r remblai final(%)</t>
  </si>
  <si>
    <t>Masse de granulat sec (t)</t>
  </si>
  <si>
    <t>Masse résidus humides (t)</t>
  </si>
  <si>
    <t>masse eau à ajouter (t)</t>
  </si>
  <si>
    <t>Masse liants (t)</t>
  </si>
  <si>
    <t>Masse/volume eau  ajoutée (t)</t>
  </si>
  <si>
    <t>Masse de granulat ajouté (t)</t>
  </si>
  <si>
    <t xml:space="preserve">M résidus humides ajoutés (t) </t>
  </si>
  <si>
    <t>M résidus secs ajoutés corresp. (t)</t>
  </si>
  <si>
    <t>masse totale liant Mb (t)</t>
  </si>
  <si>
    <t>rau-h</t>
  </si>
  <si>
    <t>rau-d</t>
  </si>
  <si>
    <t>e</t>
  </si>
  <si>
    <t>Sr</t>
  </si>
  <si>
    <t>(rau_w = 1)</t>
  </si>
  <si>
    <t>w</t>
  </si>
  <si>
    <t>Mrs</t>
  </si>
  <si>
    <t>ML</t>
  </si>
  <si>
    <t>Mgu</t>
  </si>
  <si>
    <t>Mslag</t>
  </si>
  <si>
    <t>Mw</t>
  </si>
  <si>
    <t>Mwr0</t>
  </si>
  <si>
    <t>Mwr</t>
  </si>
  <si>
    <t>w/c</t>
  </si>
  <si>
    <t>Cv(%)</t>
  </si>
  <si>
    <t>gamma-h</t>
  </si>
  <si>
    <t>gamma-d</t>
  </si>
  <si>
    <t>indice e</t>
  </si>
  <si>
    <t>porosité n</t>
  </si>
  <si>
    <t>Q3</t>
  </si>
  <si>
    <t>Cw</t>
  </si>
  <si>
    <t>Q4</t>
  </si>
  <si>
    <t>Q5</t>
  </si>
  <si>
    <t>Q6</t>
  </si>
  <si>
    <t>Q8</t>
  </si>
  <si>
    <t>Q10</t>
  </si>
  <si>
    <t>Q11</t>
  </si>
  <si>
    <t>Q12</t>
  </si>
  <si>
    <t>Q14</t>
  </si>
  <si>
    <t>Q7a</t>
  </si>
  <si>
    <t>Q7b</t>
  </si>
  <si>
    <t>Q9a</t>
  </si>
  <si>
    <t>Q9b</t>
  </si>
  <si>
    <t>Q13a</t>
  </si>
  <si>
    <t>Q13b</t>
  </si>
  <si>
    <t>coûts liants</t>
  </si>
  <si>
    <t>GU</t>
  </si>
  <si>
    <t>Slag</t>
  </si>
  <si>
    <t>20GU/80Slag</t>
  </si>
  <si>
    <t>$liant chantier</t>
  </si>
  <si>
    <t>budget $</t>
  </si>
  <si>
    <t>Nb chantiers</t>
  </si>
  <si>
    <t>Bv(%)</t>
  </si>
  <si>
    <t>Bw(%)_ajusté</t>
  </si>
  <si>
    <t>rau_actuel</t>
  </si>
  <si>
    <t>rau-solide</t>
  </si>
  <si>
    <t>rau-humide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</si>
</sst>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&quot;$&quot;* #,##0.00_-;\-&quot;$&quot;* #,##0.00_-;_-&quot;$&quot;* &quot;-&quot;??_-;_-@_-"/>
    <numFmt numFmtId="165" formatCode="0.0%"/>
    <numFmt numFmtId="166" formatCode="0.0"/>
    <numFmt numFmtId="167" formatCode="0.000%"/>
    <numFmt numFmtId="168" formatCode="0.000"/>
    <numFmt numFmtId="169" formatCode="0.0000"/>
    <numFmt numFmtId="170" formatCode="_ * #,##0.00_ \ [$$-C0C]_ ;_ * \-#,##0.00\ \ [$$-C0C]_ ;_ * &quot;-&quot;??_ \ [$$-C0C]_ ;_ @_ "/>
  </numFmts>
  <fonts count="5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Arial Black"/>
      <family val="2"/>
    </font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6"/>
      <color rgb="FF0070C0"/>
      <name val="Arial Narrow"/>
      <family val="2"/>
    </font>
    <font>
      <b/>
      <vertAlign val="subscript"/>
      <sz val="16"/>
      <color rgb="FF0070C0"/>
      <name val="Arial Narrow"/>
      <family val="2"/>
    </font>
    <font>
      <i/>
      <sz val="9"/>
      <color rgb="FFC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0"/>
      <color rgb="FF0070C0"/>
      <name val="Calibri"/>
      <family val="2"/>
      <scheme val="minor"/>
    </font>
    <font>
      <b/>
      <vertAlign val="subscript"/>
      <sz val="11"/>
      <color rgb="FFFF0000"/>
      <name val="Calibri"/>
      <family val="2"/>
      <scheme val="minor"/>
    </font>
    <font>
      <sz val="10"/>
      <color theme="9" tint="-0.499984740745262"/>
      <name val="Calibri"/>
      <family val="2"/>
      <scheme val="minor"/>
    </font>
    <font>
      <sz val="9"/>
      <color theme="9" tint="-0.499984740745262"/>
      <name val="Calibri"/>
      <family val="2"/>
      <scheme val="minor"/>
    </font>
    <font>
      <b/>
      <sz val="18"/>
      <color rgb="FF0070C0"/>
      <name val="Calibri"/>
      <family val="2"/>
      <scheme val="minor"/>
    </font>
    <font>
      <b/>
      <sz val="18"/>
      <color rgb="FF00B05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rgb="FFC00000"/>
      <name val="Arial Narrow"/>
      <family val="2"/>
    </font>
    <font>
      <sz val="11"/>
      <name val="Calibri"/>
      <family val="2"/>
    </font>
    <font>
      <sz val="10"/>
      <color rgb="FFC00000"/>
      <name val="Calibri"/>
      <family val="2"/>
      <scheme val="minor"/>
    </font>
    <font>
      <sz val="11"/>
      <color theme="1"/>
      <name val="Symbol"/>
      <family val="1"/>
      <charset val="2"/>
    </font>
    <font>
      <i/>
      <sz val="11"/>
      <color rgb="FF0070C0"/>
      <name val="Calibri"/>
      <family val="2"/>
      <scheme val="minor"/>
    </font>
    <font>
      <b/>
      <sz val="10"/>
      <color theme="9" tint="-0.499984740745262"/>
      <name val="Calibri"/>
      <family val="2"/>
      <scheme val="minor"/>
    </font>
    <font>
      <b/>
      <sz val="9"/>
      <color theme="9" tint="-0.499984740745262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7030A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i/>
      <sz val="11"/>
      <color rgb="FFFF0000"/>
      <name val="Calibri"/>
      <family val="2"/>
    </font>
    <font>
      <i/>
      <sz val="9"/>
      <color rgb="FFFF0000"/>
      <name val="Calibri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9" fontId="7" fillId="0" borderId="0" applyFont="0" applyFill="0" applyBorder="0" applyAlignment="0" applyProtection="0"/>
    <xf numFmtId="164" fontId="7" fillId="0" borderId="0" applyFont="0" applyFill="0" applyBorder="0" applyAlignment="0" applyProtection="0"/>
  </cellStyleXfs>
  <cellXfs count="330">
    <xf numFmtId="0" fontId="0" fillId="0" borderId="0" xfId="0"/>
    <xf numFmtId="0" fontId="1" fillId="0" borderId="6" xfId="0" applyFont="1" applyBorder="1"/>
    <xf numFmtId="0" fontId="1" fillId="0" borderId="8" xfId="0" applyFont="1" applyBorder="1"/>
    <xf numFmtId="0" fontId="1" fillId="0" borderId="10" xfId="0" applyFont="1" applyBorder="1"/>
    <xf numFmtId="0" fontId="0" fillId="0" borderId="5" xfId="0" applyBorder="1"/>
    <xf numFmtId="0" fontId="0" fillId="2" borderId="5" xfId="0" applyFill="1" applyBorder="1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6" fillId="0" borderId="0" xfId="0" applyFont="1"/>
    <xf numFmtId="0" fontId="1" fillId="0" borderId="1" xfId="0" applyFont="1" applyBorder="1"/>
    <xf numFmtId="0" fontId="3" fillId="0" borderId="0" xfId="0" applyFont="1"/>
    <xf numFmtId="0" fontId="1" fillId="0" borderId="0" xfId="0" applyFont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/>
    <xf numFmtId="0" fontId="1" fillId="0" borderId="0" xfId="0" applyFont="1" applyAlignment="1">
      <alignment textRotation="90"/>
    </xf>
    <xf numFmtId="0" fontId="1" fillId="0" borderId="15" xfId="0" applyFont="1" applyBorder="1" applyAlignment="1">
      <alignment horizontal="center" vertical="center" wrapText="1"/>
    </xf>
    <xf numFmtId="2" fontId="0" fillId="0" borderId="0" xfId="0" applyNumberFormat="1"/>
    <xf numFmtId="167" fontId="7" fillId="0" borderId="0" xfId="1" applyNumberFormat="1" applyFont="1"/>
    <xf numFmtId="166" fontId="0" fillId="0" borderId="0" xfId="0" applyNumberFormat="1"/>
    <xf numFmtId="0" fontId="13" fillId="0" borderId="0" xfId="0" applyFont="1"/>
    <xf numFmtId="0" fontId="13" fillId="0" borderId="1" xfId="0" applyFont="1" applyBorder="1"/>
    <xf numFmtId="0" fontId="3" fillId="0" borderId="16" xfId="0" applyFont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4" fillId="6" borderId="33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4" fillId="0" borderId="0" xfId="0" applyFont="1"/>
    <xf numFmtId="0" fontId="15" fillId="0" borderId="0" xfId="0" applyFont="1"/>
    <xf numFmtId="0" fontId="0" fillId="2" borderId="5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18" fillId="0" borderId="0" xfId="0" applyFont="1"/>
    <xf numFmtId="168" fontId="0" fillId="0" borderId="0" xfId="0" applyNumberFormat="1"/>
    <xf numFmtId="2" fontId="20" fillId="0" borderId="0" xfId="0" applyNumberFormat="1" applyFont="1"/>
    <xf numFmtId="0" fontId="0" fillId="0" borderId="0" xfId="0" applyAlignment="1">
      <alignment textRotation="90"/>
    </xf>
    <xf numFmtId="9" fontId="1" fillId="0" borderId="0" xfId="1" applyFont="1"/>
    <xf numFmtId="165" fontId="1" fillId="0" borderId="0" xfId="1" applyNumberFormat="1" applyFont="1"/>
    <xf numFmtId="10" fontId="1" fillId="0" borderId="0" xfId="1" applyNumberFormat="1" applyFont="1"/>
    <xf numFmtId="10" fontId="7" fillId="0" borderId="0" xfId="1" applyNumberFormat="1" applyFont="1"/>
    <xf numFmtId="0" fontId="22" fillId="0" borderId="0" xfId="0" applyFont="1"/>
    <xf numFmtId="10" fontId="22" fillId="0" borderId="0" xfId="1" applyNumberFormat="1" applyFont="1"/>
    <xf numFmtId="2" fontId="4" fillId="0" borderId="0" xfId="0" applyNumberFormat="1" applyFont="1"/>
    <xf numFmtId="10" fontId="1" fillId="0" borderId="0" xfId="0" applyNumberFormat="1" applyFont="1"/>
    <xf numFmtId="166" fontId="1" fillId="0" borderId="0" xfId="1" applyNumberFormat="1" applyFont="1"/>
    <xf numFmtId="2" fontId="1" fillId="0" borderId="0" xfId="1" applyNumberFormat="1" applyFont="1"/>
    <xf numFmtId="2" fontId="0" fillId="8" borderId="0" xfId="0" applyNumberFormat="1" applyFill="1"/>
    <xf numFmtId="0" fontId="9" fillId="0" borderId="8" xfId="0" applyFont="1" applyBorder="1" applyAlignment="1">
      <alignment horizontal="center"/>
    </xf>
    <xf numFmtId="0" fontId="1" fillId="7" borderId="9" xfId="0" applyFont="1" applyFill="1" applyBorder="1" applyAlignment="1">
      <alignment horizontal="center"/>
    </xf>
    <xf numFmtId="168" fontId="1" fillId="7" borderId="9" xfId="0" applyNumberFormat="1" applyFont="1" applyFill="1" applyBorder="1" applyAlignment="1">
      <alignment horizontal="center"/>
    </xf>
    <xf numFmtId="166" fontId="5" fillId="7" borderId="5" xfId="0" applyNumberFormat="1" applyFont="1" applyFill="1" applyBorder="1" applyAlignment="1">
      <alignment horizontal="center"/>
    </xf>
    <xf numFmtId="165" fontId="9" fillId="0" borderId="9" xfId="0" applyNumberFormat="1" applyFont="1" applyBorder="1" applyAlignment="1">
      <alignment horizontal="center"/>
    </xf>
    <xf numFmtId="165" fontId="9" fillId="0" borderId="27" xfId="0" applyNumberFormat="1" applyFont="1" applyBorder="1" applyAlignment="1">
      <alignment horizontal="center" vertical="center"/>
    </xf>
    <xf numFmtId="0" fontId="9" fillId="0" borderId="8" xfId="0" applyFont="1" applyBorder="1"/>
    <xf numFmtId="0" fontId="0" fillId="7" borderId="16" xfId="0" applyFill="1" applyBorder="1" applyAlignment="1">
      <alignment horizontal="center" vertical="center"/>
    </xf>
    <xf numFmtId="10" fontId="1" fillId="7" borderId="16" xfId="0" applyNumberFormat="1" applyFont="1" applyFill="1" applyBorder="1" applyAlignment="1">
      <alignment horizontal="center" vertical="center"/>
    </xf>
    <xf numFmtId="9" fontId="1" fillId="7" borderId="16" xfId="0" applyNumberFormat="1" applyFont="1" applyFill="1" applyBorder="1" applyAlignment="1">
      <alignment horizontal="center" vertical="center"/>
    </xf>
    <xf numFmtId="0" fontId="0" fillId="7" borderId="33" xfId="0" applyFill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7" borderId="35" xfId="0" applyFill="1" applyBorder="1" applyAlignment="1">
      <alignment horizontal="center"/>
    </xf>
    <xf numFmtId="166" fontId="12" fillId="0" borderId="0" xfId="0" applyNumberFormat="1" applyFont="1" applyAlignment="1">
      <alignment horizontal="left" vertical="center"/>
    </xf>
    <xf numFmtId="0" fontId="9" fillId="0" borderId="25" xfId="0" applyFont="1" applyBorder="1" applyAlignment="1">
      <alignment horizontal="center"/>
    </xf>
    <xf numFmtId="9" fontId="1" fillId="7" borderId="2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9" fillId="5" borderId="20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2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165" fontId="10" fillId="0" borderId="0" xfId="0" applyNumberFormat="1" applyFont="1" applyAlignment="1">
      <alignment horizontal="center"/>
    </xf>
    <xf numFmtId="10" fontId="0" fillId="0" borderId="0" xfId="0" applyNumberFormat="1"/>
    <xf numFmtId="1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0" fillId="0" borderId="0" xfId="0" applyFont="1"/>
    <xf numFmtId="2" fontId="10" fillId="0" borderId="0" xfId="0" applyNumberFormat="1" applyFont="1"/>
    <xf numFmtId="0" fontId="1" fillId="0" borderId="28" xfId="0" applyFont="1" applyBorder="1"/>
    <xf numFmtId="0" fontId="1" fillId="0" borderId="17" xfId="0" applyFont="1" applyBorder="1"/>
    <xf numFmtId="0" fontId="4" fillId="9" borderId="16" xfId="0" applyFont="1" applyFill="1" applyBorder="1"/>
    <xf numFmtId="0" fontId="1" fillId="0" borderId="6" xfId="0" applyFont="1" applyBorder="1" applyAlignment="1">
      <alignment horizontal="right"/>
    </xf>
    <xf numFmtId="0" fontId="25" fillId="4" borderId="7" xfId="0" applyFont="1" applyFill="1" applyBorder="1"/>
    <xf numFmtId="166" fontId="12" fillId="0" borderId="29" xfId="0" applyNumberFormat="1" applyFont="1" applyBorder="1" applyAlignment="1">
      <alignment horizontal="center" vertical="center"/>
    </xf>
    <xf numFmtId="166" fontId="12" fillId="0" borderId="16" xfId="0" applyNumberFormat="1" applyFont="1" applyBorder="1" applyAlignment="1">
      <alignment horizontal="center" vertical="center"/>
    </xf>
    <xf numFmtId="166" fontId="21" fillId="0" borderId="16" xfId="0" applyNumberFormat="1" applyFont="1" applyBorder="1" applyAlignment="1">
      <alignment horizontal="center" vertical="center"/>
    </xf>
    <xf numFmtId="166" fontId="11" fillId="0" borderId="16" xfId="0" applyNumberFormat="1" applyFont="1" applyBorder="1" applyAlignment="1">
      <alignment horizontal="center" vertical="center"/>
    </xf>
    <xf numFmtId="166" fontId="11" fillId="0" borderId="29" xfId="0" applyNumberFormat="1" applyFont="1" applyBorder="1" applyAlignment="1">
      <alignment horizontal="center" vertical="center"/>
    </xf>
    <xf numFmtId="0" fontId="1" fillId="0" borderId="20" xfId="0" applyFont="1" applyBorder="1" applyAlignment="1">
      <alignment horizontal="right" vertical="center" wrapText="1"/>
    </xf>
    <xf numFmtId="0" fontId="1" fillId="0" borderId="5" xfId="0" applyFont="1" applyBorder="1" applyAlignment="1">
      <alignment horizontal="right" vertical="center" wrapText="1"/>
    </xf>
    <xf numFmtId="166" fontId="11" fillId="0" borderId="37" xfId="0" applyNumberFormat="1" applyFont="1" applyBorder="1" applyAlignment="1">
      <alignment horizontal="center"/>
    </xf>
    <xf numFmtId="166" fontId="11" fillId="0" borderId="0" xfId="0" applyNumberFormat="1" applyFont="1" applyAlignment="1">
      <alignment horizontal="center"/>
    </xf>
    <xf numFmtId="9" fontId="1" fillId="7" borderId="34" xfId="0" applyNumberFormat="1" applyFont="1" applyFill="1" applyBorder="1" applyAlignment="1">
      <alignment horizontal="center" vertical="center"/>
    </xf>
    <xf numFmtId="2" fontId="9" fillId="0" borderId="16" xfId="0" applyNumberFormat="1" applyFont="1" applyBorder="1" applyAlignment="1">
      <alignment horizontal="center"/>
    </xf>
    <xf numFmtId="166" fontId="21" fillId="0" borderId="29" xfId="0" applyNumberFormat="1" applyFont="1" applyBorder="1" applyAlignment="1">
      <alignment horizontal="center" vertical="center"/>
    </xf>
    <xf numFmtId="2" fontId="0" fillId="7" borderId="33" xfId="0" applyNumberFormat="1" applyFill="1" applyBorder="1" applyAlignment="1">
      <alignment horizontal="center"/>
    </xf>
    <xf numFmtId="2" fontId="0" fillId="7" borderId="37" xfId="0" applyNumberFormat="1" applyFill="1" applyBorder="1" applyAlignment="1">
      <alignment horizontal="center"/>
    </xf>
    <xf numFmtId="2" fontId="0" fillId="7" borderId="34" xfId="1" applyNumberFormat="1" applyFont="1" applyFill="1" applyBorder="1" applyAlignment="1">
      <alignment horizontal="center"/>
    </xf>
    <xf numFmtId="166" fontId="4" fillId="12" borderId="34" xfId="0" applyNumberFormat="1" applyFont="1" applyFill="1" applyBorder="1" applyAlignment="1">
      <alignment horizontal="center"/>
    </xf>
    <xf numFmtId="2" fontId="9" fillId="0" borderId="34" xfId="0" applyNumberFormat="1" applyFont="1" applyBorder="1" applyAlignment="1">
      <alignment horizontal="center"/>
    </xf>
    <xf numFmtId="165" fontId="9" fillId="0" borderId="34" xfId="0" applyNumberFormat="1" applyFont="1" applyBorder="1" applyAlignment="1">
      <alignment horizontal="center" vertical="center"/>
    </xf>
    <xf numFmtId="10" fontId="17" fillId="0" borderId="33" xfId="0" applyNumberFormat="1" applyFont="1" applyBorder="1" applyAlignment="1">
      <alignment horizontal="center"/>
    </xf>
    <xf numFmtId="10" fontId="17" fillId="0" borderId="16" xfId="0" applyNumberFormat="1" applyFont="1" applyBorder="1" applyAlignment="1">
      <alignment horizontal="center"/>
    </xf>
    <xf numFmtId="2" fontId="17" fillId="0" borderId="16" xfId="0" applyNumberFormat="1" applyFont="1" applyBorder="1" applyAlignment="1">
      <alignment horizontal="center"/>
    </xf>
    <xf numFmtId="168" fontId="17" fillId="0" borderId="16" xfId="0" applyNumberFormat="1" applyFont="1" applyBorder="1" applyAlignment="1">
      <alignment horizontal="center"/>
    </xf>
    <xf numFmtId="9" fontId="10" fillId="0" borderId="0" xfId="0" applyNumberFormat="1" applyFont="1" applyAlignment="1">
      <alignment horizontal="center" vertical="center"/>
    </xf>
    <xf numFmtId="2" fontId="12" fillId="0" borderId="0" xfId="0" applyNumberFormat="1" applyFont="1" applyAlignment="1">
      <alignment horizontal="center"/>
    </xf>
    <xf numFmtId="2" fontId="9" fillId="0" borderId="0" xfId="0" applyNumberFormat="1" applyFont="1" applyAlignment="1">
      <alignment horizontal="center"/>
    </xf>
    <xf numFmtId="166" fontId="12" fillId="0" borderId="0" xfId="0" applyNumberFormat="1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6" fontId="21" fillId="0" borderId="0" xfId="0" applyNumberFormat="1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10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/>
    </xf>
    <xf numFmtId="165" fontId="19" fillId="0" borderId="0" xfId="1" applyNumberFormat="1" applyFont="1" applyFill="1" applyBorder="1" applyAlignment="1">
      <alignment horizontal="center"/>
    </xf>
    <xf numFmtId="165" fontId="19" fillId="0" borderId="0" xfId="0" applyNumberFormat="1" applyFont="1" applyAlignment="1">
      <alignment horizontal="center"/>
    </xf>
    <xf numFmtId="166" fontId="19" fillId="0" borderId="0" xfId="0" applyNumberFormat="1" applyFont="1" applyAlignment="1">
      <alignment horizontal="center"/>
    </xf>
    <xf numFmtId="168" fontId="12" fillId="0" borderId="0" xfId="0" applyNumberFormat="1" applyFont="1" applyAlignment="1">
      <alignment horizontal="center"/>
    </xf>
    <xf numFmtId="168" fontId="19" fillId="0" borderId="0" xfId="0" applyNumberFormat="1" applyFont="1" applyAlignment="1">
      <alignment horizontal="center"/>
    </xf>
    <xf numFmtId="2" fontId="19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68" fontId="9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2" fontId="1" fillId="0" borderId="0" xfId="0" applyNumberFormat="1" applyFont="1"/>
    <xf numFmtId="165" fontId="1" fillId="0" borderId="0" xfId="1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5" fontId="2" fillId="0" borderId="0" xfId="0" applyNumberFormat="1" applyFont="1"/>
    <xf numFmtId="9" fontId="17" fillId="0" borderId="0" xfId="1" applyFont="1" applyFill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9" fillId="5" borderId="19" xfId="0" applyFont="1" applyFill="1" applyBorder="1" applyAlignment="1">
      <alignment horizontal="center" vertical="center"/>
    </xf>
    <xf numFmtId="0" fontId="1" fillId="14" borderId="5" xfId="0" applyFont="1" applyFill="1" applyBorder="1"/>
    <xf numFmtId="166" fontId="0" fillId="0" borderId="5" xfId="0" applyNumberFormat="1" applyBorder="1"/>
    <xf numFmtId="166" fontId="0" fillId="14" borderId="5" xfId="0" applyNumberFormat="1" applyFill="1" applyBorder="1"/>
    <xf numFmtId="0" fontId="0" fillId="14" borderId="5" xfId="0" applyFill="1" applyBorder="1"/>
    <xf numFmtId="166" fontId="1" fillId="0" borderId="5" xfId="0" applyNumberFormat="1" applyFont="1" applyBorder="1"/>
    <xf numFmtId="166" fontId="1" fillId="14" borderId="5" xfId="0" applyNumberFormat="1" applyFont="1" applyFill="1" applyBorder="1"/>
    <xf numFmtId="166" fontId="32" fillId="14" borderId="5" xfId="0" applyNumberFormat="1" applyFont="1" applyFill="1" applyBorder="1"/>
    <xf numFmtId="0" fontId="1" fillId="0" borderId="5" xfId="0" applyFont="1" applyBorder="1"/>
    <xf numFmtId="0" fontId="0" fillId="0" borderId="19" xfId="0" applyBorder="1" applyAlignment="1">
      <alignment horizontal="center"/>
    </xf>
    <xf numFmtId="14" fontId="0" fillId="2" borderId="5" xfId="0" applyNumberFormat="1" applyFill="1" applyBorder="1" applyAlignment="1">
      <alignment horizontal="center"/>
    </xf>
    <xf numFmtId="166" fontId="4" fillId="0" borderId="16" xfId="0" applyNumberFormat="1" applyFont="1" applyBorder="1" applyAlignment="1">
      <alignment horizontal="center" vertical="center"/>
    </xf>
    <xf numFmtId="166" fontId="11" fillId="0" borderId="34" xfId="0" applyNumberFormat="1" applyFont="1" applyBorder="1" applyAlignment="1">
      <alignment horizontal="center" vertical="center"/>
    </xf>
    <xf numFmtId="165" fontId="10" fillId="0" borderId="33" xfId="0" applyNumberFormat="1" applyFont="1" applyBorder="1"/>
    <xf numFmtId="165" fontId="10" fillId="0" borderId="34" xfId="0" applyNumberFormat="1" applyFont="1" applyBorder="1"/>
    <xf numFmtId="2" fontId="17" fillId="0" borderId="34" xfId="0" applyNumberFormat="1" applyFont="1" applyBorder="1" applyAlignment="1">
      <alignment horizontal="center"/>
    </xf>
    <xf numFmtId="0" fontId="11" fillId="0" borderId="0" xfId="0" applyFont="1"/>
    <xf numFmtId="0" fontId="37" fillId="0" borderId="0" xfId="0" applyFont="1"/>
    <xf numFmtId="0" fontId="17" fillId="7" borderId="16" xfId="0" applyFont="1" applyFill="1" applyBorder="1" applyAlignment="1">
      <alignment horizontal="center" vertical="center"/>
    </xf>
    <xf numFmtId="9" fontId="2" fillId="15" borderId="30" xfId="0" applyNumberFormat="1" applyFont="1" applyFill="1" applyBorder="1" applyAlignment="1">
      <alignment horizontal="center" vertical="center"/>
    </xf>
    <xf numFmtId="169" fontId="0" fillId="16" borderId="0" xfId="0" applyNumberFormat="1" applyFill="1"/>
    <xf numFmtId="166" fontId="9" fillId="0" borderId="37" xfId="0" applyNumberFormat="1" applyFont="1" applyBorder="1" applyAlignment="1">
      <alignment horizontal="center" vertical="center"/>
    </xf>
    <xf numFmtId="166" fontId="19" fillId="0" borderId="29" xfId="0" applyNumberFormat="1" applyFont="1" applyBorder="1" applyAlignment="1">
      <alignment horizontal="center"/>
    </xf>
    <xf numFmtId="10" fontId="4" fillId="0" borderId="16" xfId="0" applyNumberFormat="1" applyFont="1" applyBorder="1" applyAlignment="1">
      <alignment horizontal="center" vertical="center"/>
    </xf>
    <xf numFmtId="10" fontId="21" fillId="0" borderId="16" xfId="0" applyNumberFormat="1" applyFont="1" applyBorder="1" applyAlignment="1">
      <alignment horizontal="center"/>
    </xf>
    <xf numFmtId="10" fontId="21" fillId="0" borderId="0" xfId="1" applyNumberFormat="1" applyFont="1" applyAlignment="1">
      <alignment horizontal="center"/>
    </xf>
    <xf numFmtId="10" fontId="21" fillId="0" borderId="33" xfId="0" applyNumberFormat="1" applyFont="1" applyBorder="1" applyAlignment="1">
      <alignment horizontal="center"/>
    </xf>
    <xf numFmtId="9" fontId="24" fillId="0" borderId="29" xfId="1" applyFont="1" applyFill="1" applyBorder="1" applyAlignment="1">
      <alignment horizontal="center"/>
    </xf>
    <xf numFmtId="2" fontId="24" fillId="0" borderId="33" xfId="0" applyNumberFormat="1" applyFont="1" applyBorder="1" applyAlignment="1">
      <alignment horizontal="center" vertical="center"/>
    </xf>
    <xf numFmtId="165" fontId="24" fillId="0" borderId="16" xfId="1" applyNumberFormat="1" applyFont="1" applyFill="1" applyBorder="1" applyAlignment="1">
      <alignment horizontal="center"/>
    </xf>
    <xf numFmtId="164" fontId="12" fillId="0" borderId="0" xfId="2" applyFont="1" applyFill="1" applyBorder="1" applyAlignment="1">
      <alignment horizontal="center" vertical="center"/>
    </xf>
    <xf numFmtId="10" fontId="9" fillId="0" borderId="29" xfId="0" applyNumberFormat="1" applyFont="1" applyBorder="1" applyAlignment="1">
      <alignment horizontal="center"/>
    </xf>
    <xf numFmtId="0" fontId="2" fillId="0" borderId="0" xfId="0" applyFont="1"/>
    <xf numFmtId="0" fontId="12" fillId="0" borderId="0" xfId="0" applyFont="1" applyAlignment="1">
      <alignment horizontal="center"/>
    </xf>
    <xf numFmtId="2" fontId="4" fillId="0" borderId="29" xfId="0" applyNumberFormat="1" applyFont="1" applyBorder="1" applyAlignment="1">
      <alignment horizontal="center" vertical="center"/>
    </xf>
    <xf numFmtId="0" fontId="34" fillId="0" borderId="13" xfId="0" applyFont="1" applyBorder="1"/>
    <xf numFmtId="0" fontId="19" fillId="0" borderId="18" xfId="0" applyFont="1" applyBorder="1"/>
    <xf numFmtId="0" fontId="19" fillId="0" borderId="12" xfId="0" applyFont="1" applyBorder="1"/>
    <xf numFmtId="0" fontId="19" fillId="0" borderId="17" xfId="0" applyFont="1" applyBorder="1"/>
    <xf numFmtId="0" fontId="34" fillId="0" borderId="12" xfId="0" applyFont="1" applyBorder="1"/>
    <xf numFmtId="0" fontId="11" fillId="0" borderId="0" xfId="0" applyFont="1" applyAlignment="1">
      <alignment horizontal="center" vertical="center"/>
    </xf>
    <xf numFmtId="165" fontId="4" fillId="0" borderId="16" xfId="1" applyNumberFormat="1" applyFont="1" applyFill="1" applyBorder="1" applyAlignment="1">
      <alignment horizontal="center"/>
    </xf>
    <xf numFmtId="165" fontId="4" fillId="7" borderId="16" xfId="0" applyNumberFormat="1" applyFont="1" applyFill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0" fontId="8" fillId="0" borderId="0" xfId="1" applyNumberFormat="1" applyFont="1" applyFill="1" applyBorder="1" applyAlignment="1">
      <alignment horizontal="center" vertical="center"/>
    </xf>
    <xf numFmtId="10" fontId="43" fillId="7" borderId="16" xfId="0" applyNumberFormat="1" applyFont="1" applyFill="1" applyBorder="1" applyAlignment="1">
      <alignment horizontal="center" vertical="center"/>
    </xf>
    <xf numFmtId="10" fontId="44" fillId="0" borderId="16" xfId="0" applyNumberFormat="1" applyFont="1" applyBorder="1" applyAlignment="1">
      <alignment horizontal="center" vertical="center"/>
    </xf>
    <xf numFmtId="167" fontId="9" fillId="0" borderId="0" xfId="1" applyNumberFormat="1" applyFont="1" applyFill="1" applyBorder="1" applyAlignment="1">
      <alignment horizontal="center" vertical="center"/>
    </xf>
    <xf numFmtId="9" fontId="1" fillId="0" borderId="0" xfId="1" applyFont="1" applyFill="1" applyBorder="1" applyAlignment="1">
      <alignment horizontal="center" vertical="center"/>
    </xf>
    <xf numFmtId="2" fontId="24" fillId="0" borderId="16" xfId="0" applyNumberFormat="1" applyFont="1" applyBorder="1" applyAlignment="1">
      <alignment horizontal="center" vertical="center"/>
    </xf>
    <xf numFmtId="168" fontId="9" fillId="0" borderId="29" xfId="0" applyNumberFormat="1" applyFont="1" applyBorder="1" applyAlignment="1">
      <alignment horizontal="center"/>
    </xf>
    <xf numFmtId="169" fontId="17" fillId="0" borderId="16" xfId="0" applyNumberFormat="1" applyFont="1" applyBorder="1" applyAlignment="1">
      <alignment horizontal="center"/>
    </xf>
    <xf numFmtId="2" fontId="45" fillId="0" borderId="0" xfId="0" applyNumberFormat="1" applyFont="1"/>
    <xf numFmtId="2" fontId="9" fillId="4" borderId="16" xfId="0" applyNumberFormat="1" applyFont="1" applyFill="1" applyBorder="1" applyAlignment="1">
      <alignment horizontal="center" vertical="center"/>
    </xf>
    <xf numFmtId="164" fontId="11" fillId="0" borderId="0" xfId="2" applyFont="1" applyFill="1" applyBorder="1" applyAlignment="1">
      <alignment horizontal="center" vertical="center"/>
    </xf>
    <xf numFmtId="169" fontId="9" fillId="0" borderId="16" xfId="0" applyNumberFormat="1" applyFont="1" applyBorder="1" applyAlignment="1">
      <alignment horizontal="center"/>
    </xf>
    <xf numFmtId="169" fontId="12" fillId="0" borderId="0" xfId="0" applyNumberFormat="1" applyFont="1" applyAlignment="1">
      <alignment horizontal="center"/>
    </xf>
    <xf numFmtId="166" fontId="11" fillId="0" borderId="0" xfId="0" applyNumberFormat="1" applyFont="1" applyAlignment="1">
      <alignment horizontal="right" vertical="center"/>
    </xf>
    <xf numFmtId="0" fontId="0" fillId="0" borderId="5" xfId="0" applyBorder="1" applyAlignment="1">
      <alignment horizontal="right"/>
    </xf>
    <xf numFmtId="166" fontId="11" fillId="0" borderId="5" xfId="0" applyNumberFormat="1" applyFont="1" applyBorder="1" applyAlignment="1">
      <alignment horizontal="right" vertical="center"/>
    </xf>
    <xf numFmtId="2" fontId="0" fillId="0" borderId="5" xfId="0" applyNumberFormat="1" applyBorder="1" applyAlignment="1">
      <alignment horizontal="right"/>
    </xf>
    <xf numFmtId="166" fontId="0" fillId="0" borderId="5" xfId="0" applyNumberFormat="1" applyBorder="1" applyAlignment="1">
      <alignment horizontal="right"/>
    </xf>
    <xf numFmtId="166" fontId="11" fillId="0" borderId="5" xfId="0" applyNumberFormat="1" applyFont="1" applyBorder="1" applyAlignment="1">
      <alignment horizontal="right"/>
    </xf>
    <xf numFmtId="2" fontId="11" fillId="0" borderId="5" xfId="0" applyNumberFormat="1" applyFont="1" applyBorder="1" applyAlignment="1">
      <alignment horizontal="right"/>
    </xf>
    <xf numFmtId="165" fontId="11" fillId="0" borderId="5" xfId="1" applyNumberFormat="1" applyFont="1" applyFill="1" applyBorder="1" applyAlignment="1">
      <alignment horizontal="right"/>
    </xf>
    <xf numFmtId="9" fontId="11" fillId="0" borderId="5" xfId="1" applyFont="1" applyFill="1" applyBorder="1" applyAlignment="1">
      <alignment horizontal="right" vertical="center"/>
    </xf>
    <xf numFmtId="2" fontId="11" fillId="4" borderId="0" xfId="0" applyNumberFormat="1" applyFont="1" applyFill="1" applyAlignment="1">
      <alignment horizontal="center" vertical="center"/>
    </xf>
    <xf numFmtId="0" fontId="46" fillId="0" borderId="0" xfId="0" applyFont="1" applyAlignment="1">
      <alignment horizontal="right"/>
    </xf>
    <xf numFmtId="0" fontId="47" fillId="0" borderId="0" xfId="0" applyFont="1" applyAlignment="1">
      <alignment horizontal="right"/>
    </xf>
    <xf numFmtId="10" fontId="0" fillId="0" borderId="0" xfId="1" applyNumberFormat="1" applyFont="1"/>
    <xf numFmtId="170" fontId="48" fillId="0" borderId="0" xfId="0" applyNumberFormat="1" applyFont="1"/>
    <xf numFmtId="0" fontId="32" fillId="0" borderId="5" xfId="0" applyFont="1" applyBorder="1" applyAlignment="1">
      <alignment horizontal="right"/>
    </xf>
    <xf numFmtId="2" fontId="32" fillId="0" borderId="5" xfId="0" applyNumberFormat="1" applyFont="1" applyBorder="1" applyAlignment="1">
      <alignment horizontal="right" vertical="center"/>
    </xf>
    <xf numFmtId="169" fontId="11" fillId="0" borderId="5" xfId="0" applyNumberFormat="1" applyFont="1" applyBorder="1" applyAlignment="1">
      <alignment horizontal="right"/>
    </xf>
    <xf numFmtId="9" fontId="0" fillId="0" borderId="0" xfId="1" applyFont="1" applyFill="1" applyBorder="1" applyAlignment="1">
      <alignment horizontal="center"/>
    </xf>
    <xf numFmtId="169" fontId="12" fillId="0" borderId="0" xfId="0" applyNumberFormat="1" applyFont="1" applyAlignment="1">
      <alignment horizontal="center" vertical="center"/>
    </xf>
    <xf numFmtId="169" fontId="9" fillId="0" borderId="0" xfId="0" applyNumberFormat="1" applyFont="1" applyAlignment="1">
      <alignment horizontal="center" vertical="center"/>
    </xf>
    <xf numFmtId="9" fontId="12" fillId="0" borderId="0" xfId="1" applyFont="1" applyFill="1" applyBorder="1" applyAlignment="1">
      <alignment horizontal="center" vertical="center"/>
    </xf>
    <xf numFmtId="2" fontId="11" fillId="0" borderId="0" xfId="0" applyNumberFormat="1" applyFont="1" applyAlignment="1">
      <alignment horizontal="right"/>
    </xf>
    <xf numFmtId="168" fontId="11" fillId="0" borderId="0" xfId="0" applyNumberFormat="1" applyFont="1" applyAlignment="1">
      <alignment horizontal="right"/>
    </xf>
    <xf numFmtId="165" fontId="11" fillId="0" borderId="0" xfId="1" applyNumberFormat="1" applyFont="1" applyFill="1" applyBorder="1" applyAlignment="1">
      <alignment horizontal="right"/>
    </xf>
    <xf numFmtId="166" fontId="1" fillId="0" borderId="0" xfId="0" applyNumberFormat="1" applyFont="1" applyAlignment="1">
      <alignment horizontal="right"/>
    </xf>
    <xf numFmtId="2" fontId="1" fillId="0" borderId="0" xfId="0" applyNumberFormat="1" applyFont="1" applyAlignment="1">
      <alignment horizontal="right"/>
    </xf>
    <xf numFmtId="2" fontId="11" fillId="0" borderId="0" xfId="0" applyNumberFormat="1" applyFont="1" applyAlignment="1">
      <alignment horizontal="right" vertical="center"/>
    </xf>
    <xf numFmtId="9" fontId="11" fillId="0" borderId="0" xfId="1" applyFont="1" applyFill="1" applyBorder="1" applyAlignment="1">
      <alignment horizontal="right" vertical="center"/>
    </xf>
    <xf numFmtId="165" fontId="11" fillId="0" borderId="0" xfId="1" applyNumberFormat="1" applyFont="1" applyFill="1" applyBorder="1" applyAlignment="1">
      <alignment horizontal="center" vertical="center"/>
    </xf>
    <xf numFmtId="168" fontId="11" fillId="0" borderId="0" xfId="1" applyNumberFormat="1" applyFont="1" applyFill="1" applyBorder="1" applyAlignment="1">
      <alignment horizontal="center" vertical="center"/>
    </xf>
    <xf numFmtId="170" fontId="49" fillId="0" borderId="0" xfId="2" applyNumberFormat="1" applyFont="1"/>
    <xf numFmtId="165" fontId="11" fillId="0" borderId="5" xfId="1" applyNumberFormat="1" applyFont="1" applyFill="1" applyBorder="1" applyAlignment="1">
      <alignment horizontal="right" vertical="center"/>
    </xf>
    <xf numFmtId="165" fontId="1" fillId="0" borderId="0" xfId="0" applyNumberFormat="1" applyFont="1" applyAlignment="1">
      <alignment horizontal="right"/>
    </xf>
    <xf numFmtId="0" fontId="1" fillId="11" borderId="20" xfId="0" applyFont="1" applyFill="1" applyBorder="1" applyAlignment="1">
      <alignment horizontal="center" vertical="center" textRotation="90"/>
    </xf>
    <xf numFmtId="0" fontId="1" fillId="11" borderId="5" xfId="0" applyFont="1" applyFill="1" applyBorder="1" applyAlignment="1">
      <alignment horizontal="center" vertical="center" textRotation="90"/>
    </xf>
    <xf numFmtId="0" fontId="1" fillId="11" borderId="19" xfId="0" applyFont="1" applyFill="1" applyBorder="1" applyAlignment="1">
      <alignment horizontal="center" vertical="center" textRotation="90"/>
    </xf>
    <xf numFmtId="0" fontId="1" fillId="11" borderId="15" xfId="0" applyFont="1" applyFill="1" applyBorder="1" applyAlignment="1">
      <alignment horizontal="center" vertical="center" textRotation="90"/>
    </xf>
    <xf numFmtId="0" fontId="24" fillId="0" borderId="12" xfId="0" applyFont="1" applyBorder="1" applyAlignment="1">
      <alignment horizontal="right" vertical="center"/>
    </xf>
    <xf numFmtId="0" fontId="24" fillId="0" borderId="17" xfId="0" applyFont="1" applyBorder="1" applyAlignment="1">
      <alignment horizontal="right" vertical="center"/>
    </xf>
    <xf numFmtId="0" fontId="21" fillId="0" borderId="16" xfId="0" applyFont="1" applyBorder="1" applyAlignment="1">
      <alignment horizontal="right" vertical="center"/>
    </xf>
    <xf numFmtId="0" fontId="21" fillId="0" borderId="17" xfId="0" applyFont="1" applyBorder="1" applyAlignment="1">
      <alignment horizontal="right" vertical="center"/>
    </xf>
    <xf numFmtId="0" fontId="23" fillId="0" borderId="5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4" fillId="0" borderId="34" xfId="0" applyFont="1" applyBorder="1" applyAlignment="1">
      <alignment horizontal="right" vertical="center"/>
    </xf>
    <xf numFmtId="0" fontId="4" fillId="0" borderId="18" xfId="0" applyFont="1" applyBorder="1" applyAlignment="1">
      <alignment horizontal="right" vertical="center"/>
    </xf>
    <xf numFmtId="0" fontId="1" fillId="0" borderId="20" xfId="0" applyFont="1" applyBorder="1" applyAlignment="1">
      <alignment horizontal="right"/>
    </xf>
    <xf numFmtId="0" fontId="23" fillId="0" borderId="15" xfId="0" applyFont="1" applyBorder="1" applyAlignment="1">
      <alignment horizontal="right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1" fillId="7" borderId="14" xfId="0" applyFont="1" applyFill="1" applyBorder="1" applyAlignment="1">
      <alignment horizontal="center"/>
    </xf>
    <xf numFmtId="0" fontId="1" fillId="7" borderId="7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7" borderId="9" xfId="0" applyFont="1" applyFill="1" applyBorder="1" applyAlignment="1">
      <alignment horizontal="center"/>
    </xf>
    <xf numFmtId="14" fontId="1" fillId="7" borderId="15" xfId="0" applyNumberFormat="1" applyFont="1" applyFill="1" applyBorder="1" applyAlignment="1">
      <alignment horizontal="center"/>
    </xf>
    <xf numFmtId="0" fontId="1" fillId="7" borderId="11" xfId="0" applyFont="1" applyFill="1" applyBorder="1" applyAlignment="1">
      <alignment horizontal="center"/>
    </xf>
    <xf numFmtId="0" fontId="1" fillId="6" borderId="16" xfId="0" applyFont="1" applyFill="1" applyBorder="1" applyAlignment="1">
      <alignment horizontal="center" vertical="center" wrapText="1"/>
    </xf>
    <xf numFmtId="0" fontId="1" fillId="6" borderId="17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right" vertical="center" wrapText="1"/>
    </xf>
    <xf numFmtId="0" fontId="1" fillId="0" borderId="17" xfId="0" applyFont="1" applyBorder="1" applyAlignment="1">
      <alignment horizontal="right" vertical="center" wrapText="1"/>
    </xf>
    <xf numFmtId="0" fontId="1" fillId="0" borderId="16" xfId="0" applyFont="1" applyBorder="1" applyAlignment="1">
      <alignment horizontal="right" wrapText="1"/>
    </xf>
    <xf numFmtId="0" fontId="1" fillId="0" borderId="17" xfId="0" applyFont="1" applyBorder="1" applyAlignment="1">
      <alignment horizontal="right" wrapText="1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40" fillId="0" borderId="16" xfId="0" applyFont="1" applyBorder="1" applyAlignment="1">
      <alignment horizontal="right" vertical="center"/>
    </xf>
    <xf numFmtId="0" fontId="40" fillId="0" borderId="17" xfId="0" applyFont="1" applyBorder="1" applyAlignment="1">
      <alignment horizontal="right" vertical="center"/>
    </xf>
    <xf numFmtId="0" fontId="2" fillId="0" borderId="30" xfId="0" applyFont="1" applyBorder="1" applyAlignment="1">
      <alignment horizontal="right" wrapText="1"/>
    </xf>
    <xf numFmtId="0" fontId="2" fillId="0" borderId="31" xfId="0" applyFont="1" applyBorder="1" applyAlignment="1">
      <alignment horizontal="right" wrapText="1"/>
    </xf>
    <xf numFmtId="0" fontId="16" fillId="10" borderId="16" xfId="0" applyFont="1" applyFill="1" applyBorder="1" applyAlignment="1">
      <alignment horizontal="center" vertical="center" wrapText="1"/>
    </xf>
    <xf numFmtId="0" fontId="16" fillId="10" borderId="1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right" vertical="center" wrapText="1"/>
    </xf>
    <xf numFmtId="0" fontId="1" fillId="0" borderId="5" xfId="0" applyFont="1" applyBorder="1" applyAlignment="1">
      <alignment horizontal="right" vertical="center" wrapText="1"/>
    </xf>
    <xf numFmtId="0" fontId="24" fillId="0" borderId="8" xfId="0" applyFont="1" applyBorder="1" applyAlignment="1">
      <alignment horizontal="right" vertical="center" wrapText="1"/>
    </xf>
    <xf numFmtId="0" fontId="24" fillId="0" borderId="5" xfId="0" applyFont="1" applyBorder="1" applyAlignment="1">
      <alignment horizontal="right" vertical="center" wrapText="1"/>
    </xf>
    <xf numFmtId="0" fontId="1" fillId="6" borderId="14" xfId="0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textRotation="90"/>
    </xf>
    <xf numFmtId="0" fontId="29" fillId="0" borderId="3" xfId="0" applyFont="1" applyBorder="1" applyAlignment="1">
      <alignment horizontal="center" vertical="center" textRotation="90"/>
    </xf>
    <xf numFmtId="0" fontId="12" fillId="0" borderId="25" xfId="0" applyFont="1" applyBorder="1" applyAlignment="1">
      <alignment horizontal="right"/>
    </xf>
    <xf numFmtId="0" fontId="12" fillId="0" borderId="20" xfId="0" applyFont="1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8" xfId="0" applyBorder="1" applyAlignment="1">
      <alignment horizontal="right"/>
    </xf>
    <xf numFmtId="0" fontId="12" fillId="0" borderId="13" xfId="0" applyFont="1" applyBorder="1" applyAlignment="1">
      <alignment horizontal="right"/>
    </xf>
    <xf numFmtId="0" fontId="12" fillId="0" borderId="18" xfId="0" applyFont="1" applyBorder="1" applyAlignment="1">
      <alignment horizontal="right"/>
    </xf>
    <xf numFmtId="0" fontId="31" fillId="13" borderId="33" xfId="0" applyFont="1" applyFill="1" applyBorder="1" applyAlignment="1">
      <alignment horizontal="right" vertical="center" wrapText="1"/>
    </xf>
    <xf numFmtId="0" fontId="31" fillId="13" borderId="26" xfId="0" applyFont="1" applyFill="1" applyBorder="1" applyAlignment="1">
      <alignment horizontal="right" vertical="center" wrapText="1"/>
    </xf>
    <xf numFmtId="0" fontId="19" fillId="0" borderId="12" xfId="0" applyFont="1" applyBorder="1" applyAlignment="1">
      <alignment horizontal="right"/>
    </xf>
    <xf numFmtId="0" fontId="19" fillId="0" borderId="17" xfId="0" applyFont="1" applyBorder="1" applyAlignment="1">
      <alignment horizontal="right"/>
    </xf>
    <xf numFmtId="0" fontId="19" fillId="0" borderId="33" xfId="0" applyFont="1" applyBorder="1" applyAlignment="1">
      <alignment horizontal="right" vertical="center" wrapText="1"/>
    </xf>
    <xf numFmtId="0" fontId="19" fillId="0" borderId="26" xfId="0" applyFont="1" applyBorder="1" applyAlignment="1">
      <alignment horizontal="right" vertical="center" wrapText="1"/>
    </xf>
    <xf numFmtId="0" fontId="11" fillId="0" borderId="6" xfId="0" applyFont="1" applyBorder="1" applyAlignment="1">
      <alignment horizontal="right"/>
    </xf>
    <xf numFmtId="0" fontId="11" fillId="0" borderId="14" xfId="0" applyFont="1" applyBorder="1" applyAlignment="1">
      <alignment horizontal="right"/>
    </xf>
    <xf numFmtId="0" fontId="35" fillId="0" borderId="10" xfId="0" applyFont="1" applyBorder="1" applyAlignment="1">
      <alignment horizontal="right"/>
    </xf>
    <xf numFmtId="0" fontId="35" fillId="0" borderId="15" xfId="0" applyFont="1" applyBorder="1" applyAlignment="1">
      <alignment horizontal="right"/>
    </xf>
    <xf numFmtId="0" fontId="0" fillId="0" borderId="25" xfId="0" applyBorder="1" applyAlignment="1">
      <alignment horizontal="right"/>
    </xf>
    <xf numFmtId="0" fontId="0" fillId="0" borderId="20" xfId="0" applyBorder="1" applyAlignment="1">
      <alignment horizontal="right"/>
    </xf>
    <xf numFmtId="0" fontId="41" fillId="0" borderId="40" xfId="0" applyFont="1" applyBorder="1" applyAlignment="1">
      <alignment horizontal="center"/>
    </xf>
    <xf numFmtId="0" fontId="41" fillId="0" borderId="26" xfId="0" applyFont="1" applyBorder="1" applyAlignment="1">
      <alignment horizontal="center"/>
    </xf>
    <xf numFmtId="0" fontId="41" fillId="0" borderId="39" xfId="0" applyFont="1" applyBorder="1" applyAlignment="1">
      <alignment horizontal="center"/>
    </xf>
    <xf numFmtId="0" fontId="41" fillId="0" borderId="18" xfId="0" applyFont="1" applyBorder="1" applyAlignment="1">
      <alignment horizontal="center"/>
    </xf>
    <xf numFmtId="0" fontId="11" fillId="0" borderId="33" xfId="0" applyFont="1" applyBorder="1" applyAlignment="1">
      <alignment horizontal="right" vertical="center"/>
    </xf>
    <xf numFmtId="0" fontId="11" fillId="0" borderId="26" xfId="0" applyFont="1" applyBorder="1" applyAlignment="1">
      <alignment horizontal="right" vertical="center"/>
    </xf>
    <xf numFmtId="0" fontId="42" fillId="0" borderId="12" xfId="0" applyFont="1" applyBorder="1" applyAlignment="1">
      <alignment horizontal="center"/>
    </xf>
    <xf numFmtId="0" fontId="42" fillId="0" borderId="17" xfId="0" applyFont="1" applyBorder="1" applyAlignment="1">
      <alignment horizontal="center"/>
    </xf>
    <xf numFmtId="0" fontId="30" fillId="0" borderId="21" xfId="0" applyFont="1" applyBorder="1" applyAlignment="1">
      <alignment horizontal="center" textRotation="90"/>
    </xf>
    <xf numFmtId="0" fontId="30" fillId="0" borderId="22" xfId="0" applyFont="1" applyBorder="1" applyAlignment="1">
      <alignment horizontal="center" textRotation="90"/>
    </xf>
    <xf numFmtId="0" fontId="30" fillId="0" borderId="23" xfId="0" applyFont="1" applyBorder="1" applyAlignment="1">
      <alignment horizontal="center" textRotation="90"/>
    </xf>
    <xf numFmtId="0" fontId="19" fillId="0" borderId="6" xfId="0" applyFont="1" applyBorder="1" applyAlignment="1">
      <alignment horizontal="right"/>
    </xf>
    <xf numFmtId="0" fontId="19" fillId="0" borderId="14" xfId="0" applyFont="1" applyBorder="1" applyAlignment="1">
      <alignment horizontal="right"/>
    </xf>
    <xf numFmtId="0" fontId="19" fillId="0" borderId="8" xfId="0" applyFont="1" applyBorder="1" applyAlignment="1">
      <alignment horizontal="right"/>
    </xf>
    <xf numFmtId="0" fontId="19" fillId="0" borderId="5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1" fillId="0" borderId="24" xfId="0" applyFont="1" applyBorder="1" applyAlignment="1">
      <alignment horizontal="right"/>
    </xf>
    <xf numFmtId="0" fontId="1" fillId="0" borderId="19" xfId="0" applyFont="1" applyBorder="1" applyAlignment="1">
      <alignment horizontal="right"/>
    </xf>
    <xf numFmtId="0" fontId="27" fillId="0" borderId="35" xfId="0" applyFont="1" applyBorder="1" applyAlignment="1">
      <alignment horizontal="right"/>
    </xf>
    <xf numFmtId="0" fontId="27" fillId="0" borderId="36" xfId="0" applyFont="1" applyBorder="1" applyAlignment="1">
      <alignment horizontal="right"/>
    </xf>
    <xf numFmtId="0" fontId="28" fillId="0" borderId="29" xfId="0" applyFont="1" applyBorder="1" applyAlignment="1">
      <alignment horizontal="right"/>
    </xf>
    <xf numFmtId="0" fontId="28" fillId="0" borderId="32" xfId="0" applyFont="1" applyBorder="1" applyAlignment="1">
      <alignment horizontal="right"/>
    </xf>
    <xf numFmtId="0" fontId="27" fillId="0" borderId="37" xfId="0" applyFont="1" applyBorder="1" applyAlignment="1">
      <alignment horizontal="right"/>
    </xf>
    <xf numFmtId="0" fontId="27" fillId="0" borderId="38" xfId="0" applyFont="1" applyBorder="1" applyAlignment="1">
      <alignment horizontal="right"/>
    </xf>
    <xf numFmtId="0" fontId="27" fillId="0" borderId="37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0" fontId="1" fillId="0" borderId="6" xfId="0" applyFont="1" applyBorder="1" applyAlignment="1">
      <alignment horizontal="right"/>
    </xf>
    <xf numFmtId="0" fontId="1" fillId="0" borderId="14" xfId="0" applyFont="1" applyBorder="1" applyAlignment="1">
      <alignment horizontal="right"/>
    </xf>
    <xf numFmtId="0" fontId="1" fillId="0" borderId="15" xfId="0" applyFont="1" applyBorder="1" applyAlignment="1">
      <alignment horizontal="right"/>
    </xf>
    <xf numFmtId="0" fontId="0" fillId="0" borderId="5" xfId="0" applyBorder="1" applyAlignment="1">
      <alignment horizontal="center"/>
    </xf>
    <xf numFmtId="0" fontId="0" fillId="14" borderId="5" xfId="0" applyFill="1" applyBorder="1" applyAlignment="1">
      <alignment horizontal="center"/>
    </xf>
    <xf numFmtId="0" fontId="1" fillId="14" borderId="5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" fillId="0" borderId="5" xfId="0" applyFont="1" applyBorder="1" applyAlignment="1">
      <alignment horizontal="center" vertical="center" textRotation="90"/>
    </xf>
    <xf numFmtId="0" fontId="1" fillId="0" borderId="5" xfId="0" applyFont="1" applyBorder="1" applyAlignment="1">
      <alignment horizontal="center"/>
    </xf>
    <xf numFmtId="0" fontId="32" fillId="14" borderId="5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5" xfId="0" applyFill="1" applyBorder="1" applyAlignment="1">
      <alignment horizontal="center"/>
    </xf>
  </cellXfs>
  <cellStyles count="3">
    <cellStyle name="Monétaire" xfId="2" builtinId="4"/>
    <cellStyle name="Normal" xfId="0" builtinId="0"/>
    <cellStyle name="Pourcentag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53340</xdr:colOff>
          <xdr:row>33</xdr:row>
          <xdr:rowOff>0</xdr:rowOff>
        </xdr:from>
        <xdr:to>
          <xdr:col>12</xdr:col>
          <xdr:colOff>472440</xdr:colOff>
          <xdr:row>39</xdr:row>
          <xdr:rowOff>99060</xdr:rowOff>
        </xdr:to>
        <xdr:sp macro="" textlink="">
          <xdr:nvSpPr>
            <xdr:cNvPr id="1025" name="Objet 1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CC"/>
            </a:solidFill>
          </xdr:spPr>
        </xdr:sp>
        <xdr:clientData/>
      </xdr:twoCellAnchor>
    </mc:Choice>
    <mc:Fallback/>
  </mc:AlternateContent>
  <xdr:twoCellAnchor editAs="oneCell">
    <xdr:from>
      <xdr:col>6</xdr:col>
      <xdr:colOff>518160</xdr:colOff>
      <xdr:row>18</xdr:row>
      <xdr:rowOff>137160</xdr:rowOff>
    </xdr:from>
    <xdr:to>
      <xdr:col>11</xdr:col>
      <xdr:colOff>419100</xdr:colOff>
      <xdr:row>31</xdr:row>
      <xdr:rowOff>167640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1220" y="3710940"/>
          <a:ext cx="4381500" cy="2545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251460</xdr:colOff>
          <xdr:row>20</xdr:row>
          <xdr:rowOff>190500</xdr:rowOff>
        </xdr:from>
        <xdr:to>
          <xdr:col>6</xdr:col>
          <xdr:colOff>342900</xdr:colOff>
          <xdr:row>25</xdr:row>
          <xdr:rowOff>60960</xdr:rowOff>
        </xdr:to>
        <xdr:sp macro="" textlink="">
          <xdr:nvSpPr>
            <xdr:cNvPr id="1029" name="Objet 9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DEBDD"/>
            </a:solidFill>
          </xdr:spPr>
        </xdr:sp>
        <xdr:clientData/>
      </xdr:twoCellAnchor>
    </mc:Choice>
    <mc:Fallback/>
  </mc:AlternateContent>
  <xdr:oneCellAnchor>
    <xdr:from>
      <xdr:col>10</xdr:col>
      <xdr:colOff>502920</xdr:colOff>
      <xdr:row>29</xdr:row>
      <xdr:rowOff>60960</xdr:rowOff>
    </xdr:from>
    <xdr:ext cx="335989" cy="248851"/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9364980" y="5783580"/>
          <a:ext cx="33598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A" sz="1000">
              <a:solidFill>
                <a:srgbClr val="FF0000"/>
              </a:solidFill>
            </a:rPr>
            <a:t>M</a:t>
          </a:r>
          <a:r>
            <a:rPr lang="fr-CA" sz="1000" baseline="-25000">
              <a:solidFill>
                <a:srgbClr val="FF0000"/>
              </a:solidFill>
            </a:rPr>
            <a:t>T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7"/>
  <sheetViews>
    <sheetView tabSelected="1" topLeftCell="A62" zoomScaleNormal="100" workbookViewId="0">
      <selection activeCell="D87" sqref="D87"/>
    </sheetView>
  </sheetViews>
  <sheetFormatPr baseColWidth="10" defaultColWidth="11.44140625" defaultRowHeight="14.4" x14ac:dyDescent="0.3"/>
  <cols>
    <col min="1" max="1" width="11.44140625" style="6"/>
    <col min="2" max="2" width="13.6640625" style="6" customWidth="1"/>
    <col min="3" max="3" width="13.44140625" style="6" customWidth="1"/>
    <col min="4" max="4" width="13.5546875" style="6" customWidth="1"/>
    <col min="5" max="8" width="13.5546875" style="6" bestFit="1" customWidth="1"/>
    <col min="9" max="9" width="14.109375" style="6" bestFit="1" customWidth="1"/>
    <col min="10" max="10" width="11.44140625" style="6"/>
    <col min="11" max="11" width="12.6640625" style="6" bestFit="1" customWidth="1"/>
    <col min="12" max="12" width="11.44140625" style="6"/>
    <col min="20" max="16384" width="11.44140625" style="6"/>
  </cols>
  <sheetData>
    <row r="1" spans="2:18" ht="21" x14ac:dyDescent="0.4">
      <c r="B1" s="22" t="s">
        <v>56</v>
      </c>
      <c r="C1" s="8"/>
    </row>
    <row r="2" spans="2:18" ht="24.6" thickBot="1" x14ac:dyDescent="0.55000000000000004">
      <c r="B2" s="23" t="s">
        <v>55</v>
      </c>
      <c r="C2" s="9"/>
      <c r="D2" s="9"/>
      <c r="E2" s="9"/>
      <c r="F2" s="9"/>
    </row>
    <row r="3" spans="2:18" ht="15.6" thickTop="1" thickBot="1" x14ac:dyDescent="0.35">
      <c r="G3" s="79" t="s">
        <v>57</v>
      </c>
      <c r="H3" s="77"/>
      <c r="I3" s="78"/>
    </row>
    <row r="4" spans="2:18" x14ac:dyDescent="0.3">
      <c r="B4" s="1" t="s">
        <v>2</v>
      </c>
      <c r="C4" s="240"/>
      <c r="D4" s="241"/>
      <c r="F4" s="64" t="s">
        <v>8</v>
      </c>
      <c r="G4" s="33" t="s">
        <v>58</v>
      </c>
      <c r="H4" s="10"/>
      <c r="I4" s="10"/>
      <c r="J4" s="10"/>
    </row>
    <row r="5" spans="2:18" x14ac:dyDescent="0.3">
      <c r="B5" s="2" t="s">
        <v>4</v>
      </c>
      <c r="C5" s="242"/>
      <c r="D5" s="243"/>
      <c r="G5" s="33" t="s">
        <v>59</v>
      </c>
      <c r="H5" s="10"/>
      <c r="I5" s="10"/>
      <c r="J5" s="10"/>
    </row>
    <row r="6" spans="2:18" ht="15" thickBot="1" x14ac:dyDescent="0.35">
      <c r="B6" s="3" t="s">
        <v>5</v>
      </c>
      <c r="C6" s="244"/>
      <c r="D6" s="245"/>
      <c r="G6" s="150" t="s">
        <v>64</v>
      </c>
    </row>
    <row r="7" spans="2:18" x14ac:dyDescent="0.3">
      <c r="B7" s="2" t="s">
        <v>6</v>
      </c>
      <c r="C7" s="49"/>
      <c r="D7" s="11"/>
      <c r="G7"/>
    </row>
    <row r="8" spans="2:18" ht="15" thickBot="1" x14ac:dyDescent="0.35">
      <c r="G8" s="151" t="s">
        <v>65</v>
      </c>
      <c r="M8" t="s">
        <v>76</v>
      </c>
    </row>
    <row r="9" spans="2:18" x14ac:dyDescent="0.3">
      <c r="B9" s="80" t="s">
        <v>37</v>
      </c>
      <c r="C9" s="81" t="s">
        <v>75</v>
      </c>
      <c r="D9" s="80" t="s">
        <v>38</v>
      </c>
      <c r="E9" s="81" t="s">
        <v>39</v>
      </c>
      <c r="G9" s="151" t="s">
        <v>18</v>
      </c>
      <c r="M9">
        <v>2.8874219999999999</v>
      </c>
    </row>
    <row r="10" spans="2:18" x14ac:dyDescent="0.3">
      <c r="B10" s="54" t="s">
        <v>28</v>
      </c>
      <c r="C10" s="50">
        <v>3.05</v>
      </c>
      <c r="D10" s="54" t="s">
        <v>40</v>
      </c>
      <c r="E10" s="49">
        <v>2.8</v>
      </c>
      <c r="M10">
        <v>2.7291479999999999</v>
      </c>
    </row>
    <row r="11" spans="2:18" x14ac:dyDescent="0.3">
      <c r="B11" s="2" t="s">
        <v>1</v>
      </c>
      <c r="C11" s="52">
        <f>H11</f>
        <v>0.31578947368421062</v>
      </c>
      <c r="F11" s="7" t="s">
        <v>7</v>
      </c>
      <c r="H11" s="6">
        <f>1/0.76-1</f>
        <v>0.31578947368421062</v>
      </c>
      <c r="M11">
        <v>2.7334710000000002</v>
      </c>
    </row>
    <row r="12" spans="2:18" ht="15" thickBot="1" x14ac:dyDescent="0.35">
      <c r="B12" s="3" t="s">
        <v>3</v>
      </c>
      <c r="C12" s="53">
        <f>(1/(1+C11))*1</f>
        <v>0.7599999999999999</v>
      </c>
      <c r="D12" s="35"/>
      <c r="E12" s="12" t="s">
        <v>0</v>
      </c>
      <c r="F12" s="51">
        <v>2278.8000000000002</v>
      </c>
      <c r="H12" s="6">
        <f>100/4</f>
        <v>25</v>
      </c>
      <c r="K12" s="51">
        <v>2278.8000000000002</v>
      </c>
      <c r="M12" s="154">
        <f>AVERAGE(M9:M11)</f>
        <v>2.7833469999999996</v>
      </c>
    </row>
    <row r="13" spans="2:18" x14ac:dyDescent="0.3">
      <c r="E13" s="12" t="s">
        <v>32</v>
      </c>
      <c r="F13" s="51">
        <v>2947.3</v>
      </c>
      <c r="K13" s="51">
        <v>2947.3</v>
      </c>
    </row>
    <row r="14" spans="2:18" x14ac:dyDescent="0.3">
      <c r="E14" s="12" t="s">
        <v>33</v>
      </c>
      <c r="F14" s="51">
        <v>2831.8</v>
      </c>
      <c r="G14" s="30" t="s">
        <v>41</v>
      </c>
      <c r="K14" s="51">
        <v>2831.8</v>
      </c>
    </row>
    <row r="16" spans="2:18" x14ac:dyDescent="0.3">
      <c r="B16" s="248"/>
      <c r="C16" s="249"/>
      <c r="D16" s="24" t="s">
        <v>9</v>
      </c>
      <c r="E16" s="7"/>
      <c r="F16" s="7"/>
      <c r="G16" s="7"/>
      <c r="H16" s="7"/>
      <c r="I16" s="7"/>
      <c r="J16" s="7"/>
      <c r="K16" s="7"/>
      <c r="R16" s="72"/>
    </row>
    <row r="17" spans="2:18" ht="15.75" customHeight="1" x14ac:dyDescent="0.3">
      <c r="B17" s="246" t="s">
        <v>21</v>
      </c>
      <c r="C17" s="247"/>
      <c r="D17" s="25"/>
      <c r="E17" s="121"/>
      <c r="F17" s="182" t="e">
        <f>C10/(C10+(D41/D42)*(E10/C10))</f>
        <v>#DIV/0!</v>
      </c>
      <c r="G17" s="121"/>
      <c r="H17" s="121"/>
      <c r="I17" s="121"/>
      <c r="J17" s="121"/>
      <c r="K17" s="121"/>
      <c r="N17" s="73"/>
      <c r="O17" s="21"/>
      <c r="R17" s="70"/>
    </row>
    <row r="18" spans="2:18" ht="15.75" customHeight="1" x14ac:dyDescent="0.3">
      <c r="B18" s="250" t="s">
        <v>10</v>
      </c>
      <c r="C18" s="251"/>
      <c r="D18" s="55">
        <v>394</v>
      </c>
      <c r="E18" s="74"/>
      <c r="F18" s="74">
        <f>(D41/C10)+(D42/E10)</f>
        <v>4559.508683842585</v>
      </c>
      <c r="G18" s="74">
        <f>(D41+D42)/D34</f>
        <v>4559.508683842585</v>
      </c>
      <c r="H18" s="74"/>
      <c r="I18" s="74"/>
      <c r="J18" s="74"/>
      <c r="K18" s="74"/>
      <c r="N18" s="74"/>
      <c r="O18" s="21"/>
      <c r="R18" s="19"/>
    </row>
    <row r="19" spans="2:18" ht="15.75" customHeight="1" x14ac:dyDescent="0.3">
      <c r="B19" s="250" t="s">
        <v>17</v>
      </c>
      <c r="C19" s="251"/>
      <c r="D19" s="26">
        <v>310</v>
      </c>
      <c r="E19" s="122">
        <v>2</v>
      </c>
      <c r="F19" s="178">
        <f>E19*D23</f>
        <v>0</v>
      </c>
      <c r="G19" s="122"/>
      <c r="H19" s="122"/>
      <c r="I19" s="122"/>
      <c r="J19" s="122"/>
      <c r="K19" s="122"/>
      <c r="N19" s="74"/>
      <c r="O19" s="21"/>
      <c r="R19" s="19"/>
    </row>
    <row r="20" spans="2:18" ht="15.75" customHeight="1" x14ac:dyDescent="0.3">
      <c r="B20" s="250" t="s">
        <v>11</v>
      </c>
      <c r="C20" s="251"/>
      <c r="D20" s="152">
        <v>17.760190000000001</v>
      </c>
      <c r="E20" s="74"/>
      <c r="F20" s="74"/>
      <c r="G20" s="74"/>
      <c r="H20" s="74"/>
      <c r="I20" s="74"/>
      <c r="J20" s="74"/>
      <c r="K20" s="74"/>
      <c r="N20" s="74"/>
      <c r="O20" s="21"/>
      <c r="R20" s="21"/>
    </row>
    <row r="21" spans="2:18" ht="15.75" customHeight="1" x14ac:dyDescent="0.3">
      <c r="B21" s="250" t="s">
        <v>43</v>
      </c>
      <c r="C21" s="251"/>
      <c r="D21" s="176">
        <f>G54</f>
        <v>0.7</v>
      </c>
      <c r="E21" s="123"/>
      <c r="F21" s="123"/>
      <c r="G21" s="174"/>
      <c r="H21" s="123"/>
      <c r="I21" s="123"/>
      <c r="J21" s="123"/>
      <c r="K21" s="123"/>
      <c r="N21" s="74"/>
      <c r="O21" s="21"/>
      <c r="R21" s="21"/>
    </row>
    <row r="22" spans="2:18" ht="15.75" customHeight="1" x14ac:dyDescent="0.3">
      <c r="B22" s="252" t="s">
        <v>19</v>
      </c>
      <c r="C22" s="253"/>
      <c r="D22" s="56">
        <v>4.4999999999999998E-2</v>
      </c>
      <c r="E22" s="124"/>
      <c r="F22" s="124"/>
      <c r="G22" s="124"/>
      <c r="H22" s="121"/>
      <c r="I22" s="124"/>
      <c r="J22" s="124"/>
      <c r="K22" s="124"/>
      <c r="N22" s="74"/>
      <c r="O22" s="21"/>
      <c r="R22" s="71"/>
    </row>
    <row r="23" spans="2:18" ht="15.75" customHeight="1" x14ac:dyDescent="0.3">
      <c r="B23" s="256" t="s">
        <v>78</v>
      </c>
      <c r="C23" s="257"/>
      <c r="D23" s="179">
        <v>0</v>
      </c>
      <c r="E23" s="125"/>
      <c r="F23" s="125"/>
      <c r="G23" s="125"/>
      <c r="H23" s="125"/>
      <c r="I23" s="125"/>
      <c r="J23" s="125"/>
      <c r="K23" s="125"/>
      <c r="N23" s="74"/>
      <c r="O23" s="21"/>
      <c r="R23" s="71"/>
    </row>
    <row r="24" spans="2:18" ht="15.75" customHeight="1" x14ac:dyDescent="0.3">
      <c r="B24" s="238" t="s">
        <v>80</v>
      </c>
      <c r="C24" s="239"/>
      <c r="D24" s="180">
        <f>(D42/$E$10)/(D42/$E$10+D41/$C$10)</f>
        <v>0</v>
      </c>
      <c r="E24" s="125"/>
      <c r="F24" s="125"/>
      <c r="G24" s="125"/>
      <c r="H24" s="125"/>
      <c r="I24" s="125"/>
      <c r="J24" s="125"/>
      <c r="K24" s="125"/>
      <c r="N24" s="74"/>
      <c r="O24" s="21"/>
      <c r="R24" s="71"/>
    </row>
    <row r="25" spans="2:18" ht="15.75" customHeight="1" thickBot="1" x14ac:dyDescent="0.35">
      <c r="B25" s="238" t="s">
        <v>79</v>
      </c>
      <c r="C25" s="239"/>
      <c r="D25" s="157">
        <f>(D42/$E$10)/(D38)</f>
        <v>0</v>
      </c>
      <c r="E25" s="125"/>
      <c r="F25" s="125"/>
      <c r="G25" s="125"/>
      <c r="H25" s="125"/>
      <c r="I25" s="125"/>
      <c r="J25" s="125"/>
      <c r="K25" s="125"/>
      <c r="N25" s="74"/>
      <c r="O25" s="21"/>
      <c r="R25" s="71"/>
    </row>
    <row r="26" spans="2:18" ht="15.75" customHeight="1" x14ac:dyDescent="0.3">
      <c r="B26" s="291" t="s">
        <v>48</v>
      </c>
      <c r="C26" s="292"/>
      <c r="D26" s="168">
        <f>(D44)/(D43)</f>
        <v>9.9523809523809526</v>
      </c>
      <c r="E26" s="125"/>
      <c r="F26" s="125"/>
      <c r="G26" s="125"/>
      <c r="H26" s="125"/>
      <c r="I26" s="125"/>
      <c r="J26" s="125"/>
      <c r="K26" s="125"/>
      <c r="N26" s="74"/>
      <c r="O26" s="21"/>
      <c r="R26" s="71"/>
    </row>
    <row r="27" spans="2:18" ht="15.75" customHeight="1" thickBot="1" x14ac:dyDescent="0.35">
      <c r="B27" s="258" t="s">
        <v>12</v>
      </c>
      <c r="C27" s="259"/>
      <c r="D27" s="153">
        <v>0</v>
      </c>
      <c r="E27" s="104"/>
      <c r="F27" s="104"/>
      <c r="G27" s="104"/>
      <c r="H27" s="104"/>
      <c r="I27" s="104"/>
      <c r="J27" s="104"/>
      <c r="K27" s="104"/>
      <c r="N27" s="74"/>
      <c r="O27" s="21"/>
    </row>
    <row r="28" spans="2:18" x14ac:dyDescent="0.3">
      <c r="B28" s="62" t="s">
        <v>22</v>
      </c>
      <c r="C28" s="65">
        <v>3.15</v>
      </c>
      <c r="D28" s="63">
        <v>0.2</v>
      </c>
      <c r="E28" s="126"/>
      <c r="F28" s="126"/>
      <c r="G28" s="126"/>
      <c r="H28" s="126"/>
      <c r="I28" s="126"/>
      <c r="J28" s="126"/>
      <c r="K28" s="126"/>
    </row>
    <row r="29" spans="2:18" x14ac:dyDescent="0.3">
      <c r="B29" s="48" t="s">
        <v>23</v>
      </c>
      <c r="C29" s="66">
        <v>3.18</v>
      </c>
      <c r="D29" s="57"/>
      <c r="E29" s="126" t="s">
        <v>102</v>
      </c>
      <c r="F29" s="126" t="s">
        <v>100</v>
      </c>
      <c r="G29" s="126"/>
      <c r="H29" s="126"/>
      <c r="I29" s="126"/>
      <c r="J29" s="126"/>
      <c r="K29" s="126"/>
    </row>
    <row r="30" spans="2:18" x14ac:dyDescent="0.3">
      <c r="B30" s="48" t="s">
        <v>25</v>
      </c>
      <c r="C30" s="66">
        <v>3.15</v>
      </c>
      <c r="D30" s="57"/>
      <c r="E30" s="74">
        <f>D36/F32-1</f>
        <v>1.3051740368548632</v>
      </c>
      <c r="F30" s="177">
        <f>(D21/D36+(1-D21)/1)^-1</f>
        <v>1.887310915919127</v>
      </c>
      <c r="G30" s="126"/>
      <c r="H30" s="126"/>
      <c r="I30" s="126"/>
      <c r="J30" s="126"/>
      <c r="K30" s="126"/>
      <c r="R30" s="70"/>
    </row>
    <row r="31" spans="2:18" x14ac:dyDescent="0.3">
      <c r="B31" s="48" t="s">
        <v>26</v>
      </c>
      <c r="C31" s="66">
        <v>2.9</v>
      </c>
      <c r="D31" s="57">
        <v>0.8</v>
      </c>
      <c r="E31" s="126" t="s">
        <v>103</v>
      </c>
      <c r="F31" s="126" t="s">
        <v>101</v>
      </c>
      <c r="G31" s="126"/>
      <c r="H31" s="126"/>
      <c r="I31" s="126"/>
      <c r="J31" s="126"/>
      <c r="K31" s="126"/>
    </row>
    <row r="32" spans="2:18" x14ac:dyDescent="0.3">
      <c r="B32" s="48" t="s">
        <v>27</v>
      </c>
      <c r="C32" s="66">
        <v>2.2999999999999998</v>
      </c>
      <c r="D32" s="57"/>
      <c r="E32" s="126">
        <f>(D36*(1/D21-1))/E30</f>
        <v>1</v>
      </c>
      <c r="F32" s="177">
        <f>F30/(1/D21-1+1)</f>
        <v>1.3211176411433889</v>
      </c>
      <c r="G32" s="126"/>
      <c r="H32" s="126"/>
      <c r="I32" s="126"/>
      <c r="J32" s="126"/>
      <c r="K32" s="126"/>
    </row>
    <row r="33" spans="1:16" ht="15" thickBot="1" x14ac:dyDescent="0.35">
      <c r="B33" s="133" t="s">
        <v>24</v>
      </c>
      <c r="C33" s="134">
        <v>2.6</v>
      </c>
      <c r="D33" s="91"/>
      <c r="E33" s="126"/>
      <c r="F33" s="126"/>
      <c r="G33" s="126"/>
      <c r="H33" s="126"/>
      <c r="I33" s="126"/>
      <c r="J33" s="126"/>
      <c r="K33" s="126"/>
    </row>
    <row r="34" spans="1:16" x14ac:dyDescent="0.3">
      <c r="B34" s="233" t="s">
        <v>66</v>
      </c>
      <c r="C34" s="233"/>
      <c r="D34" s="184">
        <f>(D23/$E$10+(1-D23)/$C$10)^-1</f>
        <v>3.05</v>
      </c>
    </row>
    <row r="35" spans="1:16" x14ac:dyDescent="0.3">
      <c r="B35" s="233" t="s">
        <v>67</v>
      </c>
      <c r="C35" s="233"/>
      <c r="D35" s="184">
        <f>(D28/$C$28+D29/$C$29+D30/$C$30+D31/$C$31+D32/$C$32+D33/$C$33)^-1</f>
        <v>2.9467741935483871</v>
      </c>
      <c r="E35" s="190">
        <f>D28*C28+D31*C31</f>
        <v>2.9499999999999997</v>
      </c>
      <c r="F35" s="105"/>
      <c r="G35" s="105"/>
      <c r="H35" s="105"/>
      <c r="I35" s="105"/>
      <c r="J35" s="105"/>
      <c r="K35" s="105"/>
      <c r="N35" s="75"/>
      <c r="O35" s="76"/>
      <c r="P35" s="76"/>
    </row>
    <row r="36" spans="1:16" x14ac:dyDescent="0.3">
      <c r="B36" s="232" t="s">
        <v>42</v>
      </c>
      <c r="C36" s="232"/>
      <c r="D36" s="189">
        <f>(1+D22)/(((1-D23)/(C10)+D23/(E10))+(D22/D35))</f>
        <v>3.0454060859946805</v>
      </c>
      <c r="E36" s="106"/>
      <c r="F36" s="105"/>
      <c r="G36" s="105"/>
      <c r="H36" s="105"/>
      <c r="I36" s="105"/>
      <c r="J36" s="105"/>
      <c r="K36" s="105"/>
      <c r="N36" s="75"/>
      <c r="O36" s="76"/>
      <c r="P36" s="76"/>
    </row>
    <row r="37" spans="1:16" x14ac:dyDescent="0.3">
      <c r="A37" s="19"/>
      <c r="B37" s="262" t="s">
        <v>70</v>
      </c>
      <c r="C37" s="263"/>
      <c r="D37" s="82">
        <f>55*20*10</f>
        <v>11000</v>
      </c>
      <c r="E37" s="107"/>
      <c r="F37" s="107"/>
      <c r="G37" s="107"/>
      <c r="H37" s="107"/>
      <c r="I37" s="107"/>
      <c r="J37" s="107"/>
      <c r="K37" s="107"/>
      <c r="L37" s="127"/>
    </row>
    <row r="38" spans="1:16" x14ac:dyDescent="0.3">
      <c r="A38" s="19"/>
      <c r="B38" s="262" t="s">
        <v>68</v>
      </c>
      <c r="C38" s="263"/>
      <c r="D38" s="84">
        <f>D37*1*(1+D27)</f>
        <v>11000</v>
      </c>
      <c r="E38" s="107"/>
      <c r="F38" s="108"/>
      <c r="G38" s="107"/>
      <c r="H38" s="107"/>
      <c r="I38" s="107"/>
      <c r="J38" s="107"/>
      <c r="K38" s="107"/>
      <c r="L38" s="127"/>
    </row>
    <row r="39" spans="1:16" x14ac:dyDescent="0.3">
      <c r="A39" s="186" t="s">
        <v>104</v>
      </c>
      <c r="B39" s="233" t="s">
        <v>69</v>
      </c>
      <c r="C39" s="233"/>
      <c r="D39" s="92">
        <f>(D21*D38)*((D21/D36)+(1-D21)/1)^-1</f>
        <v>14532.294052577276</v>
      </c>
      <c r="E39" s="105"/>
      <c r="F39" s="105"/>
      <c r="G39" s="105"/>
      <c r="H39" s="105"/>
      <c r="I39" s="105"/>
      <c r="J39" s="105"/>
      <c r="K39" s="105"/>
      <c r="L39" s="127"/>
    </row>
    <row r="40" spans="1:16" x14ac:dyDescent="0.3">
      <c r="A40" s="47"/>
      <c r="B40" s="260" t="s">
        <v>20</v>
      </c>
      <c r="C40" s="261"/>
      <c r="D40" s="175">
        <f>(D36*(1/D21-1))/((D38*D36)/D39-1)</f>
        <v>0.99999999999999967</v>
      </c>
      <c r="E40" s="128"/>
      <c r="F40" s="128"/>
      <c r="G40" s="128"/>
      <c r="H40" s="128"/>
      <c r="I40" s="128"/>
      <c r="J40" s="128"/>
      <c r="K40" s="128"/>
      <c r="L40" s="127"/>
    </row>
    <row r="41" spans="1:16" x14ac:dyDescent="0.3">
      <c r="B41" s="264" t="s">
        <v>71</v>
      </c>
      <c r="C41" s="265"/>
      <c r="D41" s="183">
        <f>(1-D23)*(D39/(1+D22))</f>
        <v>13906.501485719882</v>
      </c>
      <c r="E41" s="107">
        <f>(1/0.75-1)*D41</f>
        <v>4635.5004952399595</v>
      </c>
      <c r="F41" s="107"/>
      <c r="G41" s="107"/>
      <c r="H41" s="107"/>
      <c r="I41" s="107"/>
      <c r="J41" s="107"/>
      <c r="K41" s="107"/>
      <c r="L41" s="127"/>
    </row>
    <row r="42" spans="1:16" x14ac:dyDescent="0.3">
      <c r="B42" s="228" t="s">
        <v>72</v>
      </c>
      <c r="C42" s="229"/>
      <c r="D42" s="183">
        <f>(D23)*(D39/(1+D22))</f>
        <v>0</v>
      </c>
      <c r="E42" s="107"/>
      <c r="F42" s="107">
        <f>D41+D42+D43</f>
        <v>14532.294052577277</v>
      </c>
      <c r="G42" s="107"/>
      <c r="H42" s="107"/>
      <c r="I42" s="107"/>
      <c r="J42" s="107"/>
      <c r="K42" s="107"/>
      <c r="L42" s="127"/>
    </row>
    <row r="43" spans="1:16" x14ac:dyDescent="0.3">
      <c r="B43" s="262" t="s">
        <v>99</v>
      </c>
      <c r="C43" s="263"/>
      <c r="D43" s="187">
        <f>D22*(D41+D42)</f>
        <v>625.79256685739472</v>
      </c>
      <c r="E43" s="107"/>
      <c r="F43" s="164"/>
      <c r="G43" s="107"/>
      <c r="H43" s="107" t="s">
        <v>145</v>
      </c>
      <c r="I43" s="209">
        <f>D36</f>
        <v>3.0454060859946805</v>
      </c>
      <c r="J43" s="107"/>
      <c r="K43" s="107"/>
      <c r="L43" s="127"/>
    </row>
    <row r="44" spans="1:16" x14ac:dyDescent="0.3">
      <c r="B44" s="262" t="s">
        <v>73</v>
      </c>
      <c r="C44" s="263"/>
      <c r="D44" s="83">
        <f>D39*(1/D21-1)</f>
        <v>6228.1260225331189</v>
      </c>
      <c r="E44" s="109"/>
      <c r="F44" s="181">
        <f>D42/(D41+D42)</f>
        <v>0</v>
      </c>
      <c r="G44" s="109"/>
      <c r="H44" s="109" t="s">
        <v>146</v>
      </c>
      <c r="I44" s="210">
        <f>D91</f>
        <v>1.8872705854379703</v>
      </c>
      <c r="J44" s="109">
        <v>1000</v>
      </c>
      <c r="K44" s="109"/>
      <c r="L44" s="127"/>
    </row>
    <row r="45" spans="1:16" x14ac:dyDescent="0.3">
      <c r="B45" s="262" t="s">
        <v>74</v>
      </c>
      <c r="C45" s="263"/>
      <c r="D45" s="83">
        <f>D41*$C$11</f>
        <v>4391.526784964175</v>
      </c>
      <c r="E45" s="107"/>
      <c r="F45" s="107"/>
      <c r="G45" s="107"/>
      <c r="H45" s="107" t="s">
        <v>120</v>
      </c>
      <c r="I45" s="211">
        <f>(I43/(I43-1))-(1/J44+1)</f>
        <v>0.48790047157247041</v>
      </c>
      <c r="J45" s="107"/>
      <c r="K45" s="107"/>
      <c r="L45" s="127"/>
    </row>
    <row r="46" spans="1:16" ht="15" thickBot="1" x14ac:dyDescent="0.35">
      <c r="B46" s="234" t="s">
        <v>77</v>
      </c>
      <c r="C46" s="235"/>
      <c r="D46" s="155">
        <f>D41+D42+D43+D44</f>
        <v>20760.420075110396</v>
      </c>
      <c r="E46" s="107"/>
      <c r="F46" s="107"/>
      <c r="G46" s="107">
        <f>11000/919</f>
        <v>11.969532100108815</v>
      </c>
      <c r="H46" s="107"/>
      <c r="I46" s="107"/>
      <c r="J46" s="107"/>
      <c r="K46" s="107"/>
      <c r="L46" s="127"/>
    </row>
    <row r="47" spans="1:16" x14ac:dyDescent="0.3">
      <c r="A47" s="13"/>
      <c r="B47" s="266" t="s">
        <v>13</v>
      </c>
      <c r="C47" s="266"/>
      <c r="D47" s="27" t="str">
        <f>D16</f>
        <v>Mélange 1</v>
      </c>
      <c r="E47" s="110"/>
      <c r="F47" s="110"/>
      <c r="G47" s="110">
        <f>G46*D20</f>
        <v>212.58116430903158</v>
      </c>
      <c r="H47" s="110"/>
      <c r="I47" s="110"/>
      <c r="J47" s="110"/>
      <c r="K47" s="110"/>
    </row>
    <row r="48" spans="1:16" x14ac:dyDescent="0.3">
      <c r="A48" s="14"/>
      <c r="B48" s="230" t="s">
        <v>91</v>
      </c>
      <c r="C48" s="231"/>
      <c r="D48" s="93">
        <f>D42</f>
        <v>0</v>
      </c>
      <c r="E48" s="110"/>
      <c r="F48" s="110"/>
      <c r="G48" s="110"/>
      <c r="H48" s="110"/>
      <c r="I48" s="110"/>
      <c r="J48" s="110"/>
      <c r="K48" s="110"/>
    </row>
    <row r="49" spans="1:14" x14ac:dyDescent="0.3">
      <c r="A49" s="14"/>
      <c r="B49" s="230" t="s">
        <v>92</v>
      </c>
      <c r="C49" s="231"/>
      <c r="D49" s="84">
        <f>D41/$C$12</f>
        <v>18298.028270684059</v>
      </c>
      <c r="E49" s="111"/>
      <c r="F49" s="111"/>
      <c r="G49" s="111"/>
      <c r="H49" s="111"/>
      <c r="I49" s="111"/>
      <c r="J49" s="111"/>
      <c r="K49" s="111"/>
      <c r="L49" s="127"/>
      <c r="M49" s="61"/>
    </row>
    <row r="50" spans="1:14" x14ac:dyDescent="0.3">
      <c r="A50" s="14"/>
      <c r="B50" s="230" t="s">
        <v>93</v>
      </c>
      <c r="C50" s="231"/>
      <c r="D50" s="84">
        <f>D44-D45</f>
        <v>1836.5992375689439</v>
      </c>
      <c r="E50" s="111"/>
      <c r="F50" s="111"/>
      <c r="G50" s="111"/>
      <c r="H50" s="111"/>
      <c r="I50" s="111"/>
      <c r="J50" s="111"/>
      <c r="K50" s="111"/>
      <c r="L50" s="127"/>
      <c r="M50" s="28"/>
      <c r="N50" s="19"/>
    </row>
    <row r="51" spans="1:14" x14ac:dyDescent="0.3">
      <c r="A51" s="14"/>
      <c r="B51" s="225" t="s">
        <v>94</v>
      </c>
      <c r="C51" s="15" t="str">
        <f t="shared" ref="C51:C56" si="0">B28</f>
        <v>(T10) GU</v>
      </c>
      <c r="D51" s="145">
        <f t="shared" ref="D51:D56" si="1">D$43*D28</f>
        <v>125.15851337147895</v>
      </c>
      <c r="E51" s="145"/>
      <c r="F51" s="188">
        <f>195*D51+210*D54</f>
        <v>129539.06133948072</v>
      </c>
      <c r="G51" s="112"/>
      <c r="H51" s="112"/>
      <c r="I51" s="112"/>
      <c r="J51" s="112"/>
      <c r="K51" s="112"/>
      <c r="L51" s="127"/>
    </row>
    <row r="52" spans="1:14" x14ac:dyDescent="0.3">
      <c r="A52" s="14"/>
      <c r="B52" s="225"/>
      <c r="C52" s="15" t="str">
        <f t="shared" si="0"/>
        <v>(T50) HS</v>
      </c>
      <c r="D52" s="85">
        <f t="shared" si="1"/>
        <v>0</v>
      </c>
      <c r="E52" s="112"/>
      <c r="F52" s="112">
        <f>6000000/F51</f>
        <v>46.318075319967825</v>
      </c>
      <c r="G52" s="112"/>
      <c r="I52" s="112"/>
      <c r="J52" s="112"/>
      <c r="K52" s="112"/>
      <c r="L52" s="127"/>
    </row>
    <row r="53" spans="1:14" x14ac:dyDescent="0.3">
      <c r="A53" s="14"/>
      <c r="B53" s="225"/>
      <c r="C53" s="15" t="str">
        <f t="shared" si="0"/>
        <v>(T30) HE</v>
      </c>
      <c r="D53" s="85">
        <f t="shared" si="1"/>
        <v>0</v>
      </c>
      <c r="E53" s="112"/>
      <c r="F53" s="112"/>
      <c r="G53" s="191">
        <f>D49</f>
        <v>18298.028270684059</v>
      </c>
      <c r="H53" s="112"/>
      <c r="I53" s="112"/>
      <c r="J53" s="112"/>
      <c r="K53" s="112"/>
      <c r="L53" s="127"/>
    </row>
    <row r="54" spans="1:14" x14ac:dyDescent="0.3">
      <c r="A54" s="14"/>
      <c r="B54" s="225"/>
      <c r="C54" s="15" t="str">
        <f t="shared" si="0"/>
        <v>Slag (GGBFS)</v>
      </c>
      <c r="D54" s="145">
        <f t="shared" si="1"/>
        <v>500.63405348591579</v>
      </c>
      <c r="E54" s="191" t="s">
        <v>119</v>
      </c>
      <c r="F54" s="191" t="s">
        <v>120</v>
      </c>
      <c r="G54" s="200">
        <v>0.7</v>
      </c>
      <c r="J54" t="s">
        <v>135</v>
      </c>
      <c r="K54"/>
      <c r="L54" s="112"/>
    </row>
    <row r="55" spans="1:14" ht="16.5" customHeight="1" x14ac:dyDescent="0.3">
      <c r="A55" s="14"/>
      <c r="B55" s="226"/>
      <c r="C55" s="15" t="str">
        <f t="shared" si="0"/>
        <v>FA (types C, F)</v>
      </c>
      <c r="D55" s="85">
        <f t="shared" si="1"/>
        <v>0</v>
      </c>
      <c r="E55" s="191" t="s">
        <v>121</v>
      </c>
      <c r="F55" s="192" t="s">
        <v>105</v>
      </c>
      <c r="G55" s="222">
        <f>D79</f>
        <v>0.42860583470154068</v>
      </c>
      <c r="H55" s="223">
        <f>G55</f>
        <v>0.42860583470154068</v>
      </c>
      <c r="J55" s="201" t="s">
        <v>136</v>
      </c>
      <c r="K55">
        <v>195</v>
      </c>
      <c r="L55" s="112"/>
    </row>
    <row r="56" spans="1:14" ht="15" customHeight="1" thickBot="1" x14ac:dyDescent="0.35">
      <c r="A56" s="16"/>
      <c r="B56" s="227"/>
      <c r="C56" s="18" t="str">
        <f t="shared" si="0"/>
        <v>Chaux</v>
      </c>
      <c r="D56" s="146">
        <f t="shared" si="1"/>
        <v>0</v>
      </c>
      <c r="E56" s="191" t="s">
        <v>122</v>
      </c>
      <c r="F56" s="192" t="s">
        <v>106</v>
      </c>
      <c r="G56" s="193">
        <f>D41</f>
        <v>13906.501485719882</v>
      </c>
      <c r="H56" s="191">
        <f>22165/((1+G55)*(1+D22))</f>
        <v>14847.010841321886</v>
      </c>
      <c r="I56" s="6">
        <f>(1/(1+D22))*G54*22165</f>
        <v>14847.368421052633</v>
      </c>
      <c r="J56" s="201" t="s">
        <v>137</v>
      </c>
      <c r="K56">
        <v>210</v>
      </c>
      <c r="L56" s="112"/>
      <c r="N56" s="20"/>
    </row>
    <row r="57" spans="1:14" x14ac:dyDescent="0.3">
      <c r="A57" s="295" t="s">
        <v>15</v>
      </c>
      <c r="B57" s="314" t="s">
        <v>95</v>
      </c>
      <c r="C57" s="314"/>
      <c r="D57" s="94">
        <v>0.5</v>
      </c>
      <c r="E57" s="191" t="s">
        <v>123</v>
      </c>
      <c r="F57" s="192" t="s">
        <v>107</v>
      </c>
      <c r="G57" s="194">
        <f>D43</f>
        <v>625.79256685739472</v>
      </c>
      <c r="H57" s="216">
        <f>G54*22165-H56</f>
        <v>668.48915867811229</v>
      </c>
      <c r="J57" s="201" t="s">
        <v>138</v>
      </c>
      <c r="K57">
        <f>0.2*K55+0.8*K56</f>
        <v>207</v>
      </c>
      <c r="L57"/>
    </row>
    <row r="58" spans="1:14" x14ac:dyDescent="0.3">
      <c r="A58" s="296"/>
      <c r="B58" s="254" t="s">
        <v>96</v>
      </c>
      <c r="C58" s="255"/>
      <c r="D58" s="95">
        <v>0</v>
      </c>
      <c r="E58" s="191" t="s">
        <v>129</v>
      </c>
      <c r="F58" s="192" t="s">
        <v>108</v>
      </c>
      <c r="G58" s="195">
        <f>D51</f>
        <v>125.15851337147895</v>
      </c>
      <c r="H58" s="215">
        <f>0.2*H57</f>
        <v>133.69783173562246</v>
      </c>
      <c r="J58" s="202" t="s">
        <v>139</v>
      </c>
      <c r="K58" s="221">
        <f>K57*H57</f>
        <v>138377.25584636925</v>
      </c>
      <c r="L58">
        <f>K55*G58+K56*G59</f>
        <v>129539.06133948072</v>
      </c>
    </row>
    <row r="59" spans="1:14" ht="15" thickBot="1" x14ac:dyDescent="0.35">
      <c r="A59" s="296"/>
      <c r="B59" s="315" t="s">
        <v>97</v>
      </c>
      <c r="C59" s="315"/>
      <c r="D59" s="96">
        <v>0</v>
      </c>
      <c r="E59" s="191" t="s">
        <v>130</v>
      </c>
      <c r="F59" s="192" t="s">
        <v>109</v>
      </c>
      <c r="G59" s="195">
        <f>D54</f>
        <v>500.63405348591579</v>
      </c>
      <c r="H59" s="215">
        <f>0.8*H57</f>
        <v>534.79132694248983</v>
      </c>
      <c r="J59" s="201" t="s">
        <v>140</v>
      </c>
      <c r="K59" s="204">
        <f>6000000</f>
        <v>6000000</v>
      </c>
      <c r="L59"/>
    </row>
    <row r="60" spans="1:14" x14ac:dyDescent="0.3">
      <c r="A60" s="296"/>
      <c r="B60" s="236" t="s">
        <v>98</v>
      </c>
      <c r="C60" s="236"/>
      <c r="D60" s="156">
        <f>D59*$C$12</f>
        <v>0</v>
      </c>
      <c r="E60" s="191" t="s">
        <v>124</v>
      </c>
      <c r="F60" s="192" t="s">
        <v>110</v>
      </c>
      <c r="G60" s="196">
        <f>D44</f>
        <v>6228.1260225331189</v>
      </c>
      <c r="H60" s="215">
        <f>22165-H56-H57</f>
        <v>6649.5000000000018</v>
      </c>
      <c r="J60" s="201" t="s">
        <v>141</v>
      </c>
      <c r="K60" s="21">
        <f>K59/K58</f>
        <v>43.359726736172505</v>
      </c>
      <c r="L60" s="90"/>
    </row>
    <row r="61" spans="1:14" x14ac:dyDescent="0.3">
      <c r="A61" s="296"/>
      <c r="B61" s="305" t="s">
        <v>81</v>
      </c>
      <c r="C61" s="306"/>
      <c r="D61" s="89">
        <f>D60/$C$10</f>
        <v>0</v>
      </c>
      <c r="E61" s="191" t="s">
        <v>131</v>
      </c>
      <c r="F61" s="192" t="s">
        <v>111</v>
      </c>
      <c r="G61" s="196">
        <f>D45</f>
        <v>4391.526784964175</v>
      </c>
      <c r="H61" s="215">
        <f>C11*H56</f>
        <v>4688.529739364807</v>
      </c>
      <c r="J61" s="201" t="s">
        <v>144</v>
      </c>
      <c r="K61">
        <v>2.75</v>
      </c>
      <c r="L61" s="90"/>
    </row>
    <row r="62" spans="1:14" x14ac:dyDescent="0.3">
      <c r="A62" s="296"/>
      <c r="B62" s="309" t="s">
        <v>82</v>
      </c>
      <c r="C62" s="310"/>
      <c r="D62" s="89">
        <f>D58/$E$10</f>
        <v>0</v>
      </c>
      <c r="E62" s="191" t="s">
        <v>132</v>
      </c>
      <c r="F62" s="192" t="s">
        <v>112</v>
      </c>
      <c r="G62" s="196">
        <f>D50</f>
        <v>1836.5992375689439</v>
      </c>
      <c r="H62" s="215">
        <f>H60-H61</f>
        <v>1960.9702606351948</v>
      </c>
      <c r="J62" s="201" t="s">
        <v>142</v>
      </c>
      <c r="K62" s="203">
        <f>D22*(K61/D35)</f>
        <v>4.1995073891625614E-2</v>
      </c>
      <c r="L62" s="90"/>
    </row>
    <row r="63" spans="1:14" x14ac:dyDescent="0.3">
      <c r="A63" s="296"/>
      <c r="B63" s="311" t="s">
        <v>83</v>
      </c>
      <c r="C63" s="312"/>
      <c r="D63" s="89">
        <f>D65/D35</f>
        <v>0</v>
      </c>
      <c r="E63" s="191" t="s">
        <v>125</v>
      </c>
      <c r="F63" s="192" t="s">
        <v>113</v>
      </c>
      <c r="G63" s="197">
        <f>D78</f>
        <v>9.953179939180222</v>
      </c>
      <c r="H63" s="216">
        <f>H60/H57</f>
        <v>9.947057351160181</v>
      </c>
      <c r="J63" s="201" t="s">
        <v>143</v>
      </c>
      <c r="K63" s="203">
        <f>D22*(C10/K61)</f>
        <v>4.990909090909091E-2</v>
      </c>
      <c r="L63" s="90"/>
    </row>
    <row r="64" spans="1:14" x14ac:dyDescent="0.3">
      <c r="A64" s="296"/>
      <c r="B64" s="307" t="s">
        <v>84</v>
      </c>
      <c r="C64" s="308"/>
      <c r="D64" s="89">
        <f>D57+(D59-D60)</f>
        <v>0.5</v>
      </c>
      <c r="E64" s="191" t="s">
        <v>126</v>
      </c>
      <c r="F64" s="192" t="s">
        <v>101</v>
      </c>
      <c r="G64" s="207">
        <f>D93</f>
        <v>1.3210575930709763</v>
      </c>
      <c r="H64" s="213">
        <f>G54*(22165/(55*20*10))</f>
        <v>1.4105000000000001</v>
      </c>
      <c r="I64" s="220"/>
      <c r="J64" s="90"/>
      <c r="K64" s="90"/>
      <c r="L64" s="19"/>
    </row>
    <row r="65" spans="1:14" ht="15" thickBot="1" x14ac:dyDescent="0.35">
      <c r="A65" s="296"/>
      <c r="B65" s="237" t="s">
        <v>44</v>
      </c>
      <c r="C65" s="237"/>
      <c r="D65" s="97">
        <f>(D60+D58)*D22</f>
        <v>0</v>
      </c>
      <c r="E65" s="191" t="s">
        <v>127</v>
      </c>
      <c r="F65" s="192" t="s">
        <v>114</v>
      </c>
      <c r="G65" s="198">
        <f>D82</f>
        <v>0.43378700763300565</v>
      </c>
      <c r="H65" s="214">
        <f>H64/D36</f>
        <v>0.46315662350799669</v>
      </c>
      <c r="I65" s="90"/>
      <c r="J65" s="90"/>
      <c r="K65" s="90"/>
      <c r="L65" s="19"/>
    </row>
    <row r="66" spans="1:14" x14ac:dyDescent="0.3">
      <c r="A66" s="296"/>
      <c r="B66" s="224" t="s">
        <v>94</v>
      </c>
      <c r="C66" s="87" t="str">
        <f t="shared" ref="C66:C71" si="2">B28</f>
        <v>(T10) GU</v>
      </c>
      <c r="D66" s="86">
        <f t="shared" ref="D66:D71" si="3">D$65*D28</f>
        <v>0</v>
      </c>
      <c r="E66" s="191" t="s">
        <v>133</v>
      </c>
      <c r="F66" s="192" t="s">
        <v>115</v>
      </c>
      <c r="G66" s="193">
        <f>D92</f>
        <v>18.514124443146489</v>
      </c>
      <c r="H66" s="212">
        <f>I66*(22165/(55*20*10))</f>
        <v>19.767150000000001</v>
      </c>
      <c r="I66" s="112">
        <v>9.81</v>
      </c>
      <c r="J66" s="112"/>
      <c r="K66" s="112"/>
      <c r="L66" s="19"/>
    </row>
    <row r="67" spans="1:14" x14ac:dyDescent="0.3">
      <c r="A67" s="296"/>
      <c r="B67" s="225"/>
      <c r="C67" s="88" t="str">
        <f t="shared" si="2"/>
        <v>(T50) HS</v>
      </c>
      <c r="D67" s="85">
        <f t="shared" si="3"/>
        <v>0</v>
      </c>
      <c r="E67" s="191" t="s">
        <v>134</v>
      </c>
      <c r="F67" s="192" t="s">
        <v>116</v>
      </c>
      <c r="G67" s="193">
        <f>D94</f>
        <v>12.959574988026278</v>
      </c>
      <c r="H67" s="191">
        <f>I66*H64</f>
        <v>13.837005000000001</v>
      </c>
      <c r="J67" s="112"/>
      <c r="K67" s="112"/>
      <c r="L67" s="19"/>
    </row>
    <row r="68" spans="1:14" ht="16.5" customHeight="1" x14ac:dyDescent="0.3">
      <c r="A68" s="296"/>
      <c r="B68" s="225"/>
      <c r="C68" s="88" t="str">
        <f t="shared" si="2"/>
        <v>(T30) HE</v>
      </c>
      <c r="D68" s="85">
        <f t="shared" si="3"/>
        <v>0</v>
      </c>
      <c r="E68" s="112"/>
      <c r="F68" s="205" t="s">
        <v>117</v>
      </c>
      <c r="G68" s="206">
        <f>D86</f>
        <v>1.3052788174929026</v>
      </c>
      <c r="H68" s="217">
        <f>D36/H64-1</f>
        <v>1.1590968351610638</v>
      </c>
      <c r="I68" s="112"/>
      <c r="J68" s="112">
        <f>(22165/(1+G55))*(1/(1+0.045))</f>
        <v>14847.010841321886</v>
      </c>
      <c r="K68" s="112"/>
      <c r="L68" s="19"/>
    </row>
    <row r="69" spans="1:14" x14ac:dyDescent="0.3">
      <c r="A69" s="296"/>
      <c r="B69" s="225"/>
      <c r="C69" s="88" t="str">
        <f t="shared" si="2"/>
        <v>Slag (GGBFS)</v>
      </c>
      <c r="D69" s="85">
        <f t="shared" si="3"/>
        <v>0</v>
      </c>
      <c r="E69" s="112"/>
      <c r="F69" s="205" t="s">
        <v>118</v>
      </c>
      <c r="G69" s="206">
        <f>D88</f>
        <v>0.56621299236699429</v>
      </c>
      <c r="H69" s="217">
        <f>H68/(1+H68)</f>
        <v>0.53684337649200331</v>
      </c>
      <c r="I69" s="112"/>
      <c r="J69" s="112">
        <f>G54*22165-J68</f>
        <v>668.48915867811229</v>
      </c>
      <c r="K69" s="112"/>
      <c r="L69" s="19"/>
    </row>
    <row r="70" spans="1:14" ht="16.5" customHeight="1" x14ac:dyDescent="0.3">
      <c r="A70" s="296"/>
      <c r="B70" s="226"/>
      <c r="C70" s="88" t="str">
        <f t="shared" si="2"/>
        <v>FA (types C, F)</v>
      </c>
      <c r="D70" s="85">
        <f t="shared" si="3"/>
        <v>0</v>
      </c>
      <c r="E70" s="191" t="s">
        <v>128</v>
      </c>
      <c r="F70" s="192" t="s">
        <v>103</v>
      </c>
      <c r="G70" s="199">
        <f>D87</f>
        <v>0.99999999999999944</v>
      </c>
      <c r="H70" s="218">
        <f>22165*(1-G54)/(1*55*20*10-((G54*22165)/D36))</f>
        <v>1.1260267453611854</v>
      </c>
      <c r="I70" s="112">
        <f>1/(0.2/3.15+0.8/2.9)</f>
        <v>2.9467741935483871</v>
      </c>
      <c r="J70" s="191">
        <f>0.2*J69</f>
        <v>133.69783173562246</v>
      </c>
      <c r="K70" s="112"/>
      <c r="L70" s="19"/>
    </row>
    <row r="71" spans="1:14" ht="15" thickBot="1" x14ac:dyDescent="0.35">
      <c r="A71" s="297"/>
      <c r="B71" s="227"/>
      <c r="C71" s="88" t="str">
        <f t="shared" si="2"/>
        <v>Chaux</v>
      </c>
      <c r="D71" s="85">
        <f t="shared" si="3"/>
        <v>0</v>
      </c>
      <c r="E71" s="112"/>
      <c r="F71" s="112"/>
      <c r="G71" s="112"/>
      <c r="H71" s="219"/>
      <c r="I71" s="112"/>
      <c r="J71" s="191">
        <f>0.8*J69</f>
        <v>534.79132694248983</v>
      </c>
      <c r="K71" s="112"/>
      <c r="L71" s="19"/>
    </row>
    <row r="72" spans="1:14" x14ac:dyDescent="0.3">
      <c r="B72" s="313" t="s">
        <v>29</v>
      </c>
      <c r="C72" s="314"/>
      <c r="D72" s="58"/>
      <c r="E72" s="73"/>
      <c r="F72" s="73"/>
      <c r="G72" s="73"/>
      <c r="H72" s="73"/>
      <c r="I72" s="73"/>
      <c r="J72"/>
      <c r="K72"/>
      <c r="N72" s="21"/>
    </row>
    <row r="73" spans="1:14" x14ac:dyDescent="0.3">
      <c r="B73" s="302" t="s">
        <v>14</v>
      </c>
      <c r="C73" s="233"/>
      <c r="D73" s="59"/>
      <c r="E73" s="129"/>
      <c r="F73" s="73"/>
      <c r="G73" s="73"/>
      <c r="H73" s="73"/>
      <c r="I73" s="208">
        <f>100/3-1</f>
        <v>32.333333333333336</v>
      </c>
      <c r="J73"/>
      <c r="K73"/>
    </row>
    <row r="74" spans="1:14" x14ac:dyDescent="0.3">
      <c r="B74" s="302" t="s">
        <v>30</v>
      </c>
      <c r="C74" s="233"/>
      <c r="D74" s="59"/>
      <c r="E74" s="130"/>
      <c r="F74" s="129"/>
      <c r="G74" s="129"/>
      <c r="H74" s="73"/>
      <c r="I74" s="73">
        <f>3/100</f>
        <v>0.03</v>
      </c>
      <c r="J74"/>
      <c r="K74"/>
      <c r="N74" s="21"/>
    </row>
    <row r="75" spans="1:14" ht="15" thickBot="1" x14ac:dyDescent="0.35">
      <c r="B75" s="303" t="s">
        <v>31</v>
      </c>
      <c r="C75" s="304"/>
      <c r="D75" s="60"/>
      <c r="E75" s="73"/>
      <c r="F75" s="73"/>
      <c r="G75" s="73"/>
      <c r="H75" s="73"/>
      <c r="I75" s="208">
        <f>1/I74-1</f>
        <v>32.333333333333336</v>
      </c>
      <c r="J75"/>
      <c r="K75"/>
    </row>
    <row r="76" spans="1:14" x14ac:dyDescent="0.3">
      <c r="A76" s="267" t="s">
        <v>16</v>
      </c>
      <c r="B76" s="281" t="s">
        <v>52</v>
      </c>
      <c r="C76" s="282"/>
      <c r="D76" s="147" t="e">
        <f>(D74-D75)/(D75-D73)</f>
        <v>#DIV/0!</v>
      </c>
      <c r="E76" s="131"/>
      <c r="F76" s="131"/>
      <c r="G76" s="131"/>
      <c r="H76" s="131"/>
      <c r="I76" s="131"/>
      <c r="J76" s="131"/>
      <c r="K76" s="131"/>
    </row>
    <row r="77" spans="1:14" ht="15" thickBot="1" x14ac:dyDescent="0.35">
      <c r="A77" s="268"/>
      <c r="B77" s="283" t="s">
        <v>53</v>
      </c>
      <c r="C77" s="284"/>
      <c r="D77" s="148" t="e">
        <f>(D75-D73)/(D74-D73)</f>
        <v>#DIV/0!</v>
      </c>
      <c r="E77" s="131"/>
      <c r="F77" s="131"/>
      <c r="G77" s="131"/>
      <c r="H77" s="131"/>
      <c r="I77" s="131"/>
      <c r="J77" s="131"/>
      <c r="K77" s="131"/>
    </row>
    <row r="78" spans="1:14" x14ac:dyDescent="0.3">
      <c r="A78" s="268"/>
      <c r="B78" s="300" t="s">
        <v>47</v>
      </c>
      <c r="C78" s="301"/>
      <c r="D78" s="102">
        <f>(D44+D64)/(D43+D65)</f>
        <v>9.953179939180222</v>
      </c>
      <c r="F78" s="131"/>
      <c r="G78" s="131"/>
      <c r="H78" s="131"/>
      <c r="I78" s="131"/>
      <c r="J78" s="131"/>
      <c r="K78" s="131"/>
    </row>
    <row r="79" spans="1:14" x14ac:dyDescent="0.3">
      <c r="A79" s="268"/>
      <c r="B79" s="285" t="s">
        <v>34</v>
      </c>
      <c r="C79" s="286"/>
      <c r="D79" s="165">
        <f>(D44+D64)/(D41+D42+D43+D58+D60+D65)</f>
        <v>0.42860583470154068</v>
      </c>
      <c r="E79" s="114"/>
      <c r="F79" s="114"/>
      <c r="G79" s="114"/>
      <c r="H79" s="114"/>
      <c r="I79" s="114"/>
      <c r="J79" s="114"/>
      <c r="K79" s="114"/>
      <c r="M79" s="67"/>
    </row>
    <row r="80" spans="1:14" ht="15" thickBot="1" x14ac:dyDescent="0.35">
      <c r="A80" s="268"/>
      <c r="B80" s="271" t="s">
        <v>60</v>
      </c>
      <c r="C80" s="272"/>
      <c r="D80" s="98">
        <f>(D79*(D41+D42+D43+D44+D57+D58+D59+D65)*D81)/(D38+D61+D62+D63+D64)</f>
        <v>0.56621299236699418</v>
      </c>
      <c r="E80" s="105"/>
      <c r="F80" s="105"/>
      <c r="G80" s="105"/>
      <c r="H80" s="105"/>
      <c r="I80" s="105"/>
      <c r="J80" s="105"/>
      <c r="K80" s="105"/>
      <c r="M80" s="68"/>
    </row>
    <row r="81" spans="1:13" x14ac:dyDescent="0.3">
      <c r="A81" s="268"/>
      <c r="B81" s="269" t="s">
        <v>45</v>
      </c>
      <c r="C81" s="270"/>
      <c r="D81" s="165">
        <f>1/(1+D79)</f>
        <v>0.69998314140227247</v>
      </c>
      <c r="E81" s="114"/>
      <c r="F81" s="114"/>
      <c r="G81" s="114"/>
      <c r="H81" s="114"/>
      <c r="I81" s="114"/>
      <c r="J81" s="114"/>
      <c r="K81" s="114"/>
      <c r="M81" s="69"/>
    </row>
    <row r="82" spans="1:13" ht="15" thickBot="1" x14ac:dyDescent="0.35">
      <c r="A82" s="268"/>
      <c r="B82" s="273" t="s">
        <v>46</v>
      </c>
      <c r="C82" s="274"/>
      <c r="D82" s="99">
        <f>(D41/$C$10+D42/$E$10+D43/D35+D61+D62+D63)/(D38+D61+D62+D63+D64)</f>
        <v>0.43378700763300565</v>
      </c>
      <c r="E82" s="114"/>
      <c r="F82" s="114"/>
      <c r="G82" s="114"/>
      <c r="H82" s="114"/>
      <c r="I82" s="114"/>
      <c r="J82" s="114"/>
      <c r="K82" s="114"/>
      <c r="M82" s="69"/>
    </row>
    <row r="83" spans="1:13" x14ac:dyDescent="0.3">
      <c r="A83" s="268"/>
      <c r="B83" s="287" t="s">
        <v>88</v>
      </c>
      <c r="C83" s="288"/>
      <c r="D83" s="160">
        <f>(D42+D58)/(D41+D60+D42+D58)</f>
        <v>0</v>
      </c>
      <c r="E83" s="114"/>
      <c r="F83" s="114"/>
      <c r="G83" s="114"/>
      <c r="H83" s="114"/>
      <c r="I83" s="114"/>
      <c r="J83" s="114"/>
      <c r="K83" s="114"/>
      <c r="M83" s="69"/>
    </row>
    <row r="84" spans="1:13" x14ac:dyDescent="0.3">
      <c r="A84" s="268"/>
      <c r="B84" s="293" t="s">
        <v>89</v>
      </c>
      <c r="C84" s="294"/>
      <c r="D84" s="158">
        <f>(D42/$E$10+D62)/(D42/$E$10+D41/$C$10+D61+D62)</f>
        <v>0</v>
      </c>
      <c r="E84" s="114"/>
      <c r="F84" s="114"/>
      <c r="G84" s="114"/>
      <c r="H84" s="114"/>
      <c r="I84" s="167"/>
      <c r="J84" s="114"/>
      <c r="K84" s="114"/>
      <c r="M84" s="69"/>
    </row>
    <row r="85" spans="1:13" ht="15" thickBot="1" x14ac:dyDescent="0.35">
      <c r="A85" s="268"/>
      <c r="B85" s="289" t="s">
        <v>90</v>
      </c>
      <c r="C85" s="290"/>
      <c r="D85" s="159">
        <f>(D42/$E$10+D62)/(D38+D61+D62+D63+D64)</f>
        <v>0</v>
      </c>
      <c r="E85" s="113"/>
      <c r="F85" s="113"/>
      <c r="G85" s="113"/>
      <c r="H85" s="113"/>
      <c r="I85" s="113"/>
      <c r="J85" s="113"/>
      <c r="K85" s="113"/>
    </row>
    <row r="86" spans="1:13" ht="15" thickBot="1" x14ac:dyDescent="0.35">
      <c r="A86" s="268"/>
      <c r="B86" s="279" t="s">
        <v>61</v>
      </c>
      <c r="C86" s="280"/>
      <c r="D86" s="162">
        <f>(D36*(D38+D61+D62+D63+D64)/(D39+D58+D60+D65))-1</f>
        <v>1.3052788174929026</v>
      </c>
      <c r="E86" s="108"/>
      <c r="F86" s="108"/>
      <c r="G86" s="108"/>
      <c r="H86" s="108"/>
      <c r="I86" s="108"/>
      <c r="J86" s="108"/>
      <c r="K86" s="108"/>
    </row>
    <row r="87" spans="1:13" x14ac:dyDescent="0.3">
      <c r="A87" s="268"/>
      <c r="B87" s="275" t="s">
        <v>62</v>
      </c>
      <c r="C87" s="276"/>
      <c r="D87" s="161">
        <f>D36*D79/D86</f>
        <v>0.99999999999999944</v>
      </c>
      <c r="E87" s="132"/>
      <c r="F87" s="132"/>
      <c r="G87" s="132"/>
      <c r="H87" s="132"/>
      <c r="I87" s="132"/>
      <c r="J87" s="132"/>
      <c r="K87" s="132"/>
    </row>
    <row r="88" spans="1:13" ht="15" thickBot="1" x14ac:dyDescent="0.35">
      <c r="A88" s="268"/>
      <c r="B88" s="277" t="s">
        <v>63</v>
      </c>
      <c r="C88" s="278"/>
      <c r="D88" s="163">
        <f>D86/(1+D86)</f>
        <v>0.56621299236699429</v>
      </c>
      <c r="E88" s="115"/>
      <c r="F88" s="115"/>
      <c r="G88" s="115"/>
      <c r="H88" s="115"/>
      <c r="I88" s="115"/>
      <c r="J88" s="115"/>
      <c r="K88" s="115"/>
    </row>
    <row r="89" spans="1:13" ht="15" customHeight="1" x14ac:dyDescent="0.3">
      <c r="A89" s="268"/>
      <c r="B89" s="298" t="s">
        <v>35</v>
      </c>
      <c r="C89" s="299"/>
      <c r="D89" s="100">
        <f>(D43+D65)/(D41+D42+D58+D60)</f>
        <v>4.4999999999999998E-2</v>
      </c>
      <c r="E89" s="116"/>
      <c r="F89" s="116"/>
      <c r="G89" s="116"/>
      <c r="H89" s="116"/>
      <c r="I89" s="116"/>
      <c r="J89" s="116"/>
      <c r="K89" s="116"/>
    </row>
    <row r="90" spans="1:13" x14ac:dyDescent="0.3">
      <c r="A90" s="268"/>
      <c r="B90" s="300" t="s">
        <v>36</v>
      </c>
      <c r="C90" s="301"/>
      <c r="D90" s="101">
        <f>D89*(D34/D35)</f>
        <v>4.657635467980295E-2</v>
      </c>
      <c r="E90" s="116"/>
      <c r="F90" s="116"/>
      <c r="G90" s="116"/>
      <c r="H90" s="116"/>
      <c r="I90" s="116"/>
      <c r="J90" s="116"/>
      <c r="K90" s="116"/>
    </row>
    <row r="91" spans="1:13" x14ac:dyDescent="0.3">
      <c r="A91" s="268"/>
      <c r="B91" s="171" t="s">
        <v>87</v>
      </c>
      <c r="C91" s="172"/>
      <c r="D91" s="185">
        <f>D93*(1+D79)</f>
        <v>1.8872705854379703</v>
      </c>
      <c r="E91" s="166"/>
      <c r="F91" s="117"/>
      <c r="G91" s="117"/>
      <c r="H91" s="117"/>
      <c r="I91" s="117"/>
      <c r="J91" s="117"/>
      <c r="K91" s="117"/>
    </row>
    <row r="92" spans="1:13" ht="15" thickBot="1" x14ac:dyDescent="0.35">
      <c r="A92" s="268"/>
      <c r="B92" s="169" t="s">
        <v>50</v>
      </c>
      <c r="C92" s="170"/>
      <c r="D92" s="149">
        <f>D91*9.81</f>
        <v>18.514124443146489</v>
      </c>
      <c r="E92" s="118"/>
      <c r="F92" s="118"/>
      <c r="G92" s="118"/>
      <c r="H92" s="118"/>
      <c r="I92" s="118"/>
      <c r="J92" s="118"/>
      <c r="K92" s="118"/>
    </row>
    <row r="93" spans="1:13" x14ac:dyDescent="0.3">
      <c r="A93" s="268"/>
      <c r="B93" s="171" t="s">
        <v>86</v>
      </c>
      <c r="C93" s="172"/>
      <c r="D93" s="103">
        <f>D95/(1+D86)</f>
        <v>1.3210575930709763</v>
      </c>
      <c r="E93" s="118"/>
      <c r="F93" s="118"/>
      <c r="G93" s="118"/>
      <c r="H93" s="118"/>
      <c r="I93" s="118"/>
      <c r="J93" s="118"/>
      <c r="K93" s="118"/>
    </row>
    <row r="94" spans="1:13" x14ac:dyDescent="0.3">
      <c r="A94" s="268"/>
      <c r="B94" s="173" t="s">
        <v>49</v>
      </c>
      <c r="C94" s="172"/>
      <c r="D94" s="102">
        <f>D93*9.81</f>
        <v>12.959574988026278</v>
      </c>
      <c r="E94" s="119"/>
      <c r="F94" s="119"/>
      <c r="G94" s="119"/>
      <c r="H94" s="119"/>
      <c r="I94" s="119"/>
      <c r="J94" s="119"/>
      <c r="K94" s="119"/>
    </row>
    <row r="95" spans="1:13" x14ac:dyDescent="0.3">
      <c r="A95" s="268"/>
      <c r="B95" s="171" t="s">
        <v>85</v>
      </c>
      <c r="C95" s="172"/>
      <c r="D95" s="103">
        <f>(1+D89)/(1/D34+D89/D35)</f>
        <v>3.0454060859946805</v>
      </c>
      <c r="E95" s="120"/>
      <c r="F95" s="120"/>
      <c r="G95" s="120"/>
      <c r="H95" s="120"/>
      <c r="I95" s="120"/>
      <c r="J95" s="120"/>
      <c r="K95" s="120"/>
    </row>
    <row r="96" spans="1:13" x14ac:dyDescent="0.3">
      <c r="A96" s="268"/>
      <c r="B96" s="173" t="s">
        <v>51</v>
      </c>
      <c r="C96" s="172"/>
      <c r="D96" s="102">
        <f>D95*9.81</f>
        <v>29.875433703607818</v>
      </c>
      <c r="E96" s="119"/>
      <c r="F96" s="119"/>
      <c r="G96" s="119"/>
      <c r="H96" s="119"/>
      <c r="I96" s="119"/>
      <c r="J96" s="119"/>
      <c r="K96" s="119"/>
    </row>
    <row r="97" spans="1:13" x14ac:dyDescent="0.3">
      <c r="A97" s="17"/>
    </row>
    <row r="98" spans="1:13" customFormat="1" x14ac:dyDescent="0.3">
      <c r="A98" s="36"/>
    </row>
    <row r="99" spans="1:13" customFormat="1" x14ac:dyDescent="0.3">
      <c r="D99" s="34"/>
      <c r="E99" s="34"/>
      <c r="F99" s="34"/>
      <c r="G99" s="34"/>
      <c r="H99" s="34"/>
      <c r="I99" s="34"/>
      <c r="J99" s="34"/>
      <c r="K99" s="34"/>
    </row>
    <row r="100" spans="1:13" customFormat="1" x14ac:dyDescent="0.3">
      <c r="D100" s="34"/>
      <c r="E100" s="34"/>
      <c r="F100" s="34"/>
      <c r="G100" s="34"/>
      <c r="H100" s="34"/>
      <c r="I100" s="34"/>
      <c r="J100" s="34"/>
      <c r="K100" s="34"/>
    </row>
    <row r="101" spans="1:13" customFormat="1" x14ac:dyDescent="0.3">
      <c r="D101" s="21"/>
      <c r="E101" s="21"/>
      <c r="F101" s="21"/>
      <c r="G101" s="21"/>
      <c r="H101" s="21"/>
      <c r="I101" s="21"/>
      <c r="J101" s="21"/>
      <c r="K101" s="21"/>
    </row>
    <row r="102" spans="1:13" customFormat="1" x14ac:dyDescent="0.3">
      <c r="D102" s="19"/>
      <c r="E102" s="19"/>
      <c r="F102" s="19"/>
      <c r="G102" s="19"/>
      <c r="H102" s="19"/>
      <c r="I102" s="19"/>
      <c r="J102" s="19"/>
      <c r="K102" s="19"/>
    </row>
    <row r="103" spans="1:13" customFormat="1" x14ac:dyDescent="0.3"/>
    <row r="104" spans="1:13" customFormat="1" x14ac:dyDescent="0.3"/>
    <row r="105" spans="1:13" customFormat="1" x14ac:dyDescent="0.3"/>
    <row r="106" spans="1:13" x14ac:dyDescent="0.3">
      <c r="C106"/>
      <c r="D106"/>
      <c r="E106"/>
      <c r="F106"/>
      <c r="G106"/>
      <c r="H106"/>
      <c r="I106"/>
      <c r="J106"/>
      <c r="K106"/>
    </row>
    <row r="107" spans="1:13" x14ac:dyDescent="0.3">
      <c r="C107"/>
      <c r="D107"/>
      <c r="E107"/>
      <c r="F107"/>
      <c r="G107"/>
      <c r="H107"/>
      <c r="I107"/>
      <c r="J107"/>
      <c r="K107"/>
    </row>
    <row r="108" spans="1:13" x14ac:dyDescent="0.3">
      <c r="D108" s="38"/>
      <c r="E108" s="38"/>
      <c r="F108" s="38"/>
      <c r="G108" s="38"/>
      <c r="H108" s="38"/>
      <c r="I108" s="38"/>
      <c r="J108" s="38"/>
      <c r="K108" s="38"/>
      <c r="M108" s="45"/>
    </row>
    <row r="109" spans="1:13" x14ac:dyDescent="0.3">
      <c r="C109"/>
      <c r="D109"/>
      <c r="E109"/>
      <c r="F109"/>
      <c r="G109"/>
      <c r="H109"/>
      <c r="I109"/>
      <c r="J109"/>
      <c r="K109"/>
    </row>
    <row r="110" spans="1:13" x14ac:dyDescent="0.3">
      <c r="C110"/>
      <c r="D110" s="21"/>
      <c r="E110" s="21"/>
      <c r="F110" s="21"/>
      <c r="G110" s="21"/>
      <c r="H110" s="21"/>
      <c r="I110" s="21"/>
      <c r="J110" s="21"/>
      <c r="K110" s="21"/>
    </row>
    <row r="111" spans="1:13" x14ac:dyDescent="0.3">
      <c r="C111" s="29"/>
      <c r="D111" s="43"/>
      <c r="E111" s="43"/>
      <c r="F111" s="43"/>
      <c r="G111" s="43"/>
      <c r="H111" s="43"/>
      <c r="I111" s="43"/>
      <c r="J111" s="43"/>
      <c r="K111" s="43"/>
    </row>
    <row r="112" spans="1:13" x14ac:dyDescent="0.3">
      <c r="C112"/>
      <c r="D112" s="40"/>
      <c r="E112" s="40"/>
      <c r="F112" s="40"/>
      <c r="G112" s="40"/>
      <c r="H112" s="40"/>
      <c r="I112" s="40"/>
      <c r="J112" s="40"/>
      <c r="K112" s="40"/>
    </row>
    <row r="113" spans="3:13" x14ac:dyDescent="0.3">
      <c r="D113" s="39"/>
      <c r="E113" s="39"/>
      <c r="F113" s="39"/>
      <c r="G113" s="39"/>
      <c r="H113" s="39"/>
      <c r="I113" s="39"/>
      <c r="J113" s="39"/>
      <c r="K113" s="39"/>
      <c r="M113" s="46"/>
    </row>
    <row r="114" spans="3:13" x14ac:dyDescent="0.3">
      <c r="D114" s="38"/>
      <c r="E114" s="37"/>
      <c r="F114" s="37"/>
      <c r="G114" s="37"/>
      <c r="H114" s="37"/>
      <c r="I114" s="37"/>
      <c r="J114" s="37"/>
      <c r="K114" s="37"/>
    </row>
    <row r="115" spans="3:13" x14ac:dyDescent="0.3">
      <c r="C115" s="41"/>
      <c r="D115" s="42"/>
      <c r="E115" s="42"/>
      <c r="F115" s="42"/>
      <c r="G115" s="42"/>
      <c r="H115" s="42"/>
      <c r="I115" s="42"/>
      <c r="J115" s="42"/>
      <c r="K115" s="42"/>
    </row>
    <row r="116" spans="3:13" x14ac:dyDescent="0.3">
      <c r="D116" s="42"/>
      <c r="E116" s="42"/>
      <c r="F116" s="42"/>
      <c r="G116" s="42"/>
      <c r="H116" s="42"/>
      <c r="I116" s="42"/>
      <c r="J116" s="42"/>
      <c r="K116" s="42"/>
    </row>
    <row r="117" spans="3:13" x14ac:dyDescent="0.3">
      <c r="D117" s="44"/>
      <c r="E117" s="44"/>
      <c r="F117" s="44"/>
      <c r="G117" s="44"/>
      <c r="H117" s="44"/>
      <c r="I117" s="44"/>
      <c r="J117" s="44"/>
      <c r="K117" s="44"/>
    </row>
  </sheetData>
  <mergeCells count="64">
    <mergeCell ref="B26:C26"/>
    <mergeCell ref="B84:C84"/>
    <mergeCell ref="A57:A71"/>
    <mergeCell ref="B89:C89"/>
    <mergeCell ref="B90:C90"/>
    <mergeCell ref="B73:C73"/>
    <mergeCell ref="B74:C74"/>
    <mergeCell ref="B75:C75"/>
    <mergeCell ref="B61:C61"/>
    <mergeCell ref="B64:C64"/>
    <mergeCell ref="B62:C62"/>
    <mergeCell ref="B63:C63"/>
    <mergeCell ref="B78:C78"/>
    <mergeCell ref="B72:C72"/>
    <mergeCell ref="B57:C57"/>
    <mergeCell ref="B59:C59"/>
    <mergeCell ref="A76:A96"/>
    <mergeCell ref="B81:C81"/>
    <mergeCell ref="B80:C80"/>
    <mergeCell ref="B82:C82"/>
    <mergeCell ref="B87:C87"/>
    <mergeCell ref="B88:C88"/>
    <mergeCell ref="B86:C86"/>
    <mergeCell ref="B76:C76"/>
    <mergeCell ref="B77:C77"/>
    <mergeCell ref="B79:C79"/>
    <mergeCell ref="B83:C83"/>
    <mergeCell ref="B85:C85"/>
    <mergeCell ref="B34:C34"/>
    <mergeCell ref="B58:C58"/>
    <mergeCell ref="B23:C23"/>
    <mergeCell ref="B35:C35"/>
    <mergeCell ref="B27:C27"/>
    <mergeCell ref="B40:C40"/>
    <mergeCell ref="B51:B56"/>
    <mergeCell ref="B37:C37"/>
    <mergeCell ref="B38:C38"/>
    <mergeCell ref="B41:C41"/>
    <mergeCell ref="B43:C43"/>
    <mergeCell ref="B44:C44"/>
    <mergeCell ref="B45:C45"/>
    <mergeCell ref="B47:C47"/>
    <mergeCell ref="B49:C49"/>
    <mergeCell ref="B50:C50"/>
    <mergeCell ref="B24:C24"/>
    <mergeCell ref="B25:C25"/>
    <mergeCell ref="C4:D4"/>
    <mergeCell ref="C5:D5"/>
    <mergeCell ref="C6:D6"/>
    <mergeCell ref="B17:C17"/>
    <mergeCell ref="B16:C16"/>
    <mergeCell ref="B18:C18"/>
    <mergeCell ref="B19:C19"/>
    <mergeCell ref="B20:C20"/>
    <mergeCell ref="B21:C21"/>
    <mergeCell ref="B22:C22"/>
    <mergeCell ref="B66:B71"/>
    <mergeCell ref="B42:C42"/>
    <mergeCell ref="B48:C48"/>
    <mergeCell ref="B36:C36"/>
    <mergeCell ref="B39:C39"/>
    <mergeCell ref="B46:C46"/>
    <mergeCell ref="B60:C60"/>
    <mergeCell ref="B65:C65"/>
  </mergeCell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DSMT4" shapeId="1025" r:id="rId4">
          <objectPr defaultSize="0" autoPict="0" r:id="rId5">
            <anchor moveWithCells="1" sizeWithCells="1">
              <from>
                <xdr:col>5</xdr:col>
                <xdr:colOff>53340</xdr:colOff>
                <xdr:row>33</xdr:row>
                <xdr:rowOff>0</xdr:rowOff>
              </from>
              <to>
                <xdr:col>12</xdr:col>
                <xdr:colOff>472440</xdr:colOff>
                <xdr:row>39</xdr:row>
                <xdr:rowOff>99060</xdr:rowOff>
              </to>
            </anchor>
          </objectPr>
        </oleObject>
      </mc:Choice>
      <mc:Fallback>
        <oleObject progId="Equation.DSMT4" shapeId="1025" r:id="rId4"/>
      </mc:Fallback>
    </mc:AlternateContent>
    <mc:AlternateContent xmlns:mc="http://schemas.openxmlformats.org/markup-compatibility/2006">
      <mc:Choice Requires="x14">
        <oleObject progId="Equation.DSMT4" shapeId="1029" r:id="rId6">
          <objectPr defaultSize="0" autoPict="0" r:id="rId7">
            <anchor moveWithCells="1" sizeWithCells="1">
              <from>
                <xdr:col>4</xdr:col>
                <xdr:colOff>251460</xdr:colOff>
                <xdr:row>20</xdr:row>
                <xdr:rowOff>190500</xdr:rowOff>
              </from>
              <to>
                <xdr:col>6</xdr:col>
                <xdr:colOff>342900</xdr:colOff>
                <xdr:row>25</xdr:row>
                <xdr:rowOff>60960</xdr:rowOff>
              </to>
            </anchor>
          </objectPr>
        </oleObject>
      </mc:Choice>
      <mc:Fallback>
        <oleObject progId="Equation.DSMT4" shapeId="1029" r:id="rId6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5"/>
  <sheetViews>
    <sheetView workbookViewId="0">
      <selection activeCell="G13" sqref="G13"/>
    </sheetView>
  </sheetViews>
  <sheetFormatPr baseColWidth="10" defaultRowHeight="14.4" x14ac:dyDescent="0.3"/>
  <cols>
    <col min="2" max="2" width="10.21875" customWidth="1"/>
    <col min="3" max="3" width="18.109375" customWidth="1"/>
    <col min="4" max="4" width="12.77734375" customWidth="1"/>
  </cols>
  <sheetData>
    <row r="1" spans="2:8" ht="15" thickBot="1" x14ac:dyDescent="0.35"/>
    <row r="2" spans="2:8" x14ac:dyDescent="0.3">
      <c r="B2" s="319" t="str">
        <f>'calculs cremblai-granulats'!B4</f>
        <v># Projet</v>
      </c>
      <c r="C2" s="320"/>
      <c r="D2" s="32">
        <f>'calculs cremblai-granulats'!C4</f>
        <v>0</v>
      </c>
    </row>
    <row r="3" spans="2:8" x14ac:dyDescent="0.3">
      <c r="B3" s="321" t="str">
        <f>'calculs cremblai-granulats'!B5</f>
        <v>Opérateur</v>
      </c>
      <c r="C3" s="316"/>
      <c r="D3" s="143">
        <f>'calculs cremblai-granulats'!C5</f>
        <v>0</v>
      </c>
    </row>
    <row r="4" spans="2:8" x14ac:dyDescent="0.3">
      <c r="B4" s="322" t="str">
        <f>'calculs cremblai-granulats'!B6</f>
        <v>Date</v>
      </c>
      <c r="C4" s="323"/>
      <c r="D4" s="144"/>
      <c r="E4" s="5"/>
      <c r="F4" s="5"/>
      <c r="G4" s="5"/>
      <c r="H4" s="5"/>
    </row>
    <row r="5" spans="2:8" x14ac:dyDescent="0.3">
      <c r="B5" s="327" t="str">
        <f>'calculs cremblai-granulats'!B9</f>
        <v>Résidus</v>
      </c>
      <c r="C5" s="325"/>
      <c r="D5" s="316" t="str">
        <f>'calculs cremblai-granulats'!C9</f>
        <v>résidus Casa Berardi</v>
      </c>
      <c r="E5" s="316"/>
      <c r="F5" s="142" t="str">
        <f>'calculs cremblai-granulats'!D9</f>
        <v>Granulat</v>
      </c>
      <c r="G5" s="316" t="str">
        <f>'calculs cremblai-granulats'!E9</f>
        <v>concassé LaRonde</v>
      </c>
      <c r="H5" s="316"/>
    </row>
    <row r="6" spans="2:8" ht="15" thickBot="1" x14ac:dyDescent="0.35">
      <c r="B6" s="328" t="str">
        <f>'calculs cremblai-granulats'!B7</f>
        <v>#URSTM</v>
      </c>
      <c r="C6" s="329"/>
      <c r="D6" s="31">
        <f>'calculs cremblai-granulats'!C7</f>
        <v>0</v>
      </c>
      <c r="E6" s="5"/>
      <c r="F6" s="5"/>
      <c r="G6" s="5"/>
      <c r="H6" s="5"/>
    </row>
    <row r="8" spans="2:8" x14ac:dyDescent="0.3">
      <c r="B8" s="318" t="str">
        <f>'calculs cremblai-granulats'!B47:C47</f>
        <v>#Batch</v>
      </c>
      <c r="C8" s="318"/>
      <c r="D8" s="135" t="str">
        <f>'calculs cremblai-granulats'!D47:E47</f>
        <v>Mélange 1</v>
      </c>
    </row>
    <row r="9" spans="2:8" x14ac:dyDescent="0.3">
      <c r="B9" s="325" t="str">
        <f>'calculs cremblai-granulats'!B48:C48</f>
        <v>Masse de granulat sec (t)</v>
      </c>
      <c r="C9" s="325"/>
      <c r="D9" s="139">
        <f>'calculs cremblai-granulats'!D48:E48</f>
        <v>0</v>
      </c>
    </row>
    <row r="10" spans="2:8" x14ac:dyDescent="0.3">
      <c r="B10" s="318" t="str">
        <f>'calculs cremblai-granulats'!B49:C49</f>
        <v>Masse résidus humides (t)</v>
      </c>
      <c r="C10" s="318"/>
      <c r="D10" s="140">
        <f>'calculs cremblai-granulats'!D49:E49</f>
        <v>18298.028270684059</v>
      </c>
    </row>
    <row r="11" spans="2:8" x14ac:dyDescent="0.3">
      <c r="B11" s="325" t="str">
        <f>'calculs cremblai-granulats'!B50:C50</f>
        <v>masse eau à ajouter (t)</v>
      </c>
      <c r="C11" s="325"/>
      <c r="D11" s="139">
        <f>'calculs cremblai-granulats'!D50:E50</f>
        <v>1836.5992375689439</v>
      </c>
    </row>
    <row r="12" spans="2:8" x14ac:dyDescent="0.3">
      <c r="B12" s="324" t="str">
        <f>'calculs cremblai-granulats'!B51:C51</f>
        <v>Masse liants (t)</v>
      </c>
      <c r="C12" s="138" t="str">
        <f>'calculs cremblai-granulats'!C51:D51</f>
        <v>(T10) GU</v>
      </c>
      <c r="D12" s="137">
        <f>'calculs cremblai-granulats'!D51:E51</f>
        <v>125.15851337147895</v>
      </c>
    </row>
    <row r="13" spans="2:8" x14ac:dyDescent="0.3">
      <c r="B13" s="324"/>
      <c r="C13" s="4" t="str">
        <f>'calculs cremblai-granulats'!C52:D52</f>
        <v>(T50) HS</v>
      </c>
      <c r="D13" s="136">
        <f>'calculs cremblai-granulats'!D52:E52</f>
        <v>0</v>
      </c>
    </row>
    <row r="14" spans="2:8" x14ac:dyDescent="0.3">
      <c r="B14" s="324"/>
      <c r="C14" s="138" t="str">
        <f>'calculs cremblai-granulats'!C53:D53</f>
        <v>(T30) HE</v>
      </c>
      <c r="D14" s="137">
        <f>'calculs cremblai-granulats'!D53:E53</f>
        <v>0</v>
      </c>
    </row>
    <row r="15" spans="2:8" x14ac:dyDescent="0.3">
      <c r="B15" s="324"/>
      <c r="C15" s="4" t="str">
        <f>'calculs cremblai-granulats'!C54:D54</f>
        <v>Slag (GGBFS)</v>
      </c>
      <c r="D15" s="136">
        <f>'calculs cremblai-granulats'!D54:E54</f>
        <v>500.63405348591579</v>
      </c>
    </row>
    <row r="16" spans="2:8" x14ac:dyDescent="0.3">
      <c r="B16" s="324"/>
      <c r="C16" s="138" t="str">
        <f>'calculs cremblai-granulats'!C55:D55</f>
        <v>FA (types C, F)</v>
      </c>
      <c r="D16" s="137">
        <f>'calculs cremblai-granulats'!D55:E55</f>
        <v>0</v>
      </c>
    </row>
    <row r="17" spans="1:4" x14ac:dyDescent="0.3">
      <c r="B17" s="324"/>
      <c r="C17" s="4" t="str">
        <f>'calculs cremblai-granulats'!C56:D56</f>
        <v>Chaux</v>
      </c>
      <c r="D17" s="136">
        <f>'calculs cremblai-granulats'!D56:E56</f>
        <v>0</v>
      </c>
    </row>
    <row r="18" spans="1:4" x14ac:dyDescent="0.3">
      <c r="B18" s="318" t="str">
        <f>'calculs cremblai-granulats'!B57:C57</f>
        <v>Masse/volume eau  ajoutée (t)</v>
      </c>
      <c r="C18" s="318"/>
      <c r="D18" s="140">
        <f>'calculs cremblai-granulats'!D57:E57</f>
        <v>0.5</v>
      </c>
    </row>
    <row r="19" spans="1:4" x14ac:dyDescent="0.3">
      <c r="B19" s="325" t="str">
        <f>'calculs cremblai-granulats'!B58:C58</f>
        <v>Masse de granulat ajouté (t)</v>
      </c>
      <c r="C19" s="325"/>
      <c r="D19" s="139">
        <f>'calculs cremblai-granulats'!D58:E58</f>
        <v>0</v>
      </c>
    </row>
    <row r="20" spans="1:4" x14ac:dyDescent="0.3">
      <c r="B20" s="326" t="str">
        <f>'calculs cremblai-granulats'!B60:C60</f>
        <v>M résidus secs ajoutés corresp. (t)</v>
      </c>
      <c r="C20" s="326"/>
      <c r="D20" s="141">
        <f>'calculs cremblai-granulats'!D60:E60</f>
        <v>0</v>
      </c>
    </row>
    <row r="21" spans="1:4" x14ac:dyDescent="0.3">
      <c r="B21" s="325" t="str">
        <f>'calculs cremblai-granulats'!B59:C59</f>
        <v xml:space="preserve">M résidus humides ajoutés (t) </v>
      </c>
      <c r="C21" s="325"/>
      <c r="D21" s="139">
        <f>'calculs cremblai-granulats'!D59:E59</f>
        <v>0</v>
      </c>
    </row>
    <row r="22" spans="1:4" x14ac:dyDescent="0.3">
      <c r="A22" s="33" t="s">
        <v>54</v>
      </c>
      <c r="B22" s="318" t="str">
        <f>'calculs cremblai-granulats'!B65:C65</f>
        <v>Masse liant à ajouter - ajuster (g)</v>
      </c>
      <c r="C22" s="318"/>
      <c r="D22" s="140">
        <f>'calculs cremblai-granulats'!D65:E65</f>
        <v>0</v>
      </c>
    </row>
    <row r="23" spans="1:4" x14ac:dyDescent="0.3">
      <c r="B23" s="324" t="str">
        <f>'calculs cremblai-granulats'!B66:C66</f>
        <v>Masse liants (t)</v>
      </c>
      <c r="C23" s="4" t="str">
        <f>'calculs cremblai-granulats'!C66:D66</f>
        <v>(T10) GU</v>
      </c>
      <c r="D23" s="136">
        <f>'calculs cremblai-granulats'!D66:E66</f>
        <v>0</v>
      </c>
    </row>
    <row r="24" spans="1:4" x14ac:dyDescent="0.3">
      <c r="B24" s="324"/>
      <c r="C24" s="138" t="str">
        <f>'calculs cremblai-granulats'!C67:D67</f>
        <v>(T50) HS</v>
      </c>
      <c r="D24" s="137">
        <f>'calculs cremblai-granulats'!D67:E67</f>
        <v>0</v>
      </c>
    </row>
    <row r="25" spans="1:4" x14ac:dyDescent="0.3">
      <c r="B25" s="324"/>
      <c r="C25" s="4" t="str">
        <f>'calculs cremblai-granulats'!C68:D68</f>
        <v>(T30) HE</v>
      </c>
      <c r="D25" s="136">
        <f>'calculs cremblai-granulats'!D68:E68</f>
        <v>0</v>
      </c>
    </row>
    <row r="26" spans="1:4" x14ac:dyDescent="0.3">
      <c r="B26" s="324"/>
      <c r="C26" s="138" t="str">
        <f>'calculs cremblai-granulats'!C69:D69</f>
        <v>Slag (GGBFS)</v>
      </c>
      <c r="D26" s="137">
        <f>'calculs cremblai-granulats'!D69:E69</f>
        <v>0</v>
      </c>
    </row>
    <row r="27" spans="1:4" x14ac:dyDescent="0.3">
      <c r="B27" s="324"/>
      <c r="C27" s="4" t="str">
        <f>'calculs cremblai-granulats'!C70:D70</f>
        <v>FA (types C, F)</v>
      </c>
      <c r="D27" s="136">
        <f>'calculs cremblai-granulats'!D70:E70</f>
        <v>0</v>
      </c>
    </row>
    <row r="28" spans="1:4" x14ac:dyDescent="0.3">
      <c r="B28" s="324"/>
      <c r="C28" s="138" t="str">
        <f>'calculs cremblai-granulats'!C71:D71</f>
        <v>Chaux</v>
      </c>
      <c r="D28" s="137">
        <f>'calculs cremblai-granulats'!D71:E71</f>
        <v>0</v>
      </c>
    </row>
    <row r="29" spans="1:4" x14ac:dyDescent="0.3">
      <c r="D29" s="21"/>
    </row>
    <row r="30" spans="1:4" x14ac:dyDescent="0.3">
      <c r="B30" s="318" t="str">
        <f>'calculs cremblai-granulats'!B72:C72</f>
        <v>slump mesuré (mm)</v>
      </c>
      <c r="C30" s="318"/>
      <c r="D30" s="140"/>
    </row>
    <row r="31" spans="1:4" x14ac:dyDescent="0.3">
      <c r="B31" s="316" t="str">
        <f>'calculs cremblai-granulats'!B73:C73</f>
        <v>tare (g)</v>
      </c>
      <c r="C31" s="316"/>
      <c r="D31" s="136"/>
    </row>
    <row r="32" spans="1:4" x14ac:dyDescent="0.3">
      <c r="B32" s="317" t="str">
        <f>'calculs cremblai-granulats'!B74:C74</f>
        <v>m_h pâte (g)</v>
      </c>
      <c r="C32" s="317"/>
      <c r="D32" s="137"/>
    </row>
    <row r="33" spans="2:4" x14ac:dyDescent="0.3">
      <c r="B33" s="316" t="str">
        <f>'calculs cremblai-granulats'!B75:C75</f>
        <v>m_s pâte (g)</v>
      </c>
      <c r="C33" s="316"/>
      <c r="D33" s="136"/>
    </row>
    <row r="34" spans="2:4" x14ac:dyDescent="0.3">
      <c r="B34" s="317" t="str">
        <f>'calculs cremblai-granulats'!B76:C76</f>
        <v>teneur eau mesurée w(%)</v>
      </c>
      <c r="C34" s="317"/>
      <c r="D34" s="138"/>
    </row>
    <row r="35" spans="2:4" x14ac:dyDescent="0.3">
      <c r="B35" s="317" t="str">
        <f>'calculs cremblai-granulats'!B77:C77</f>
        <v>% solide massique mesuré Cw(%)</v>
      </c>
      <c r="C35" s="317"/>
      <c r="D35" s="138"/>
    </row>
  </sheetData>
  <mergeCells count="24">
    <mergeCell ref="B2:C2"/>
    <mergeCell ref="B3:C3"/>
    <mergeCell ref="B4:C4"/>
    <mergeCell ref="B12:B17"/>
    <mergeCell ref="B23:B28"/>
    <mergeCell ref="B8:C8"/>
    <mergeCell ref="B9:C9"/>
    <mergeCell ref="B11:C11"/>
    <mergeCell ref="B19:C19"/>
    <mergeCell ref="B21:C21"/>
    <mergeCell ref="B22:C22"/>
    <mergeCell ref="B20:C20"/>
    <mergeCell ref="B18:C18"/>
    <mergeCell ref="B5:C5"/>
    <mergeCell ref="B6:C6"/>
    <mergeCell ref="B10:C10"/>
    <mergeCell ref="B33:C33"/>
    <mergeCell ref="B34:C34"/>
    <mergeCell ref="B35:C35"/>
    <mergeCell ref="D5:E5"/>
    <mergeCell ref="G5:H5"/>
    <mergeCell ref="B30:C30"/>
    <mergeCell ref="B31:C31"/>
    <mergeCell ref="B32:C32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calculs cremblai-granulats</vt:lpstr>
      <vt:lpstr>feuille préparation mélanges</vt:lpstr>
      <vt:lpstr>'feuille préparation mélanges'!Zone_d_impression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Peyronnard</dc:creator>
  <cp:lastModifiedBy>Belem, Tikou</cp:lastModifiedBy>
  <cp:lastPrinted>2012-03-20T15:49:52Z</cp:lastPrinted>
  <dcterms:created xsi:type="dcterms:W3CDTF">2011-09-26T15:05:23Z</dcterms:created>
  <dcterms:modified xsi:type="dcterms:W3CDTF">2026-03-06T23:00:22Z</dcterms:modified>
</cp:coreProperties>
</file>